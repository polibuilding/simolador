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Geral" sheetId="2" state="visible" r:id="rId4"/>
    <sheet name="Peças" sheetId="3" state="visible" r:id="rId5"/>
    <sheet name="Kits" sheetId="4" state="visible" r:id="rId6"/>
    <sheet name="Estoque" sheetId="5" state="visible" r:id="rId7"/>
  </sheets>
  <definedNames>
    <definedName function="false" hidden="false" name="angulo_minimo_membros_graus" vbProcedure="false">Geral!$B$27</definedName>
    <definedName function="false" hidden="false" name="barra_desconto_mm" vbProcedure="false">Geral!$B$7</definedName>
    <definedName function="false" hidden="false" name="barra_diametro_mm" vbProcedure="false">Geral!$B$6</definedName>
    <definedName function="false" hidden="false" name="cabo_diametro_mm" vbProcedure="false">Geral!$B$10</definedName>
    <definedName function="false" hidden="false" name="chapa_espessura_mm" vbProcedure="false">Geral!$B$21</definedName>
    <definedName function="false" hidden="false" name="chapa_modulos_x" vbProcedure="false">Geral!$B$19</definedName>
    <definedName function="false" hidden="false" name="chapa_modulos_y" vbProcedure="false">Geral!$B$20</definedName>
    <definedName function="false" hidden="false" name="diagonal_desconto_mm" vbProcedure="false">Geral!$B$8</definedName>
    <definedName function="false" hidden="false" name="diagonal_terminal_mm" vbProcedure="false">Geral!$B$9</definedName>
    <definedName function="false" hidden="false" name="esfera_diametro_mm" vbProcedure="false">Geral!$B$5</definedName>
    <definedName function="false" hidden="false" name="gc_altura_mm" vbProcedure="false">Geral!$B$14</definedName>
    <definedName function="false" hidden="false" name="gc_centro_esfera_mm" vbProcedure="false">Geral!$B$15</definedName>
    <definedName function="false" hidden="false" name="gc_diametro_mm" vbProcedure="false">Geral!$B$13</definedName>
    <definedName function="false" hidden="false" name="gc_encaixe_padrao" vbProcedure="false">Geral!$B$29</definedName>
    <definedName function="false" hidden="false" name="max_membros_por_plano" vbProcedure="false">Geral!$B$28</definedName>
    <definedName function="false" hidden="false" name="modulo_mm" vbProcedure="false">Geral!$B$3</definedName>
    <definedName function="false" hidden="false" name="placa_desconto_mm" vbProcedure="false">Geral!$B$11</definedName>
    <definedName function="false" hidden="false" name="placa_espessura_mm" vbProcedure="false">Geral!$B$12</definedName>
    <definedName function="false" hidden="false" name="prancha_escala" vbProcedure="false">Geral!$B$23</definedName>
    <definedName function="false" hidden="false" name="prancha_formato" vbProcedure="false">Geral!$B$24</definedName>
    <definedName function="false" hidden="false" name="prancha_projeto" vbProcedure="false">Geral!$B$25</definedName>
    <definedName function="false" hidden="false" name="rc90_cateto_mm" vbProcedure="false">Geral!$B$16</definedName>
    <definedName function="false" hidden="false" name="rc90_espessura_mm" vbProcedure="false">Geral!$B$17</definedName>
    <definedName function="false" hidden="false" name="tolerancia_encaixe_mm" vbProcedure="false">Geral!$B$30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<sst xmlns="http://schemas.openxmlformats.org/spreadsheetml/2006/main" count="260" uniqueCount="164">
  <si>
    <t xml:space="preserve">siMOLAdor: parâmetros (fonte dos dados do programa)</t>
  </si>
  <si>
    <t xml:space="preserve">Esta planilha alimenta o programa. O script scripts/gerar-dados.mjs lê este arquivo e gera data/catalog.json e data/kits.json. Não edite os JSON à mão: edite aqui e rode o comando.</t>
  </si>
  <si>
    <t xml:space="preserve">Como atualizar</t>
  </si>
  <si>
    <t xml:space="preserve">1. Edite só as células amarelas. 2. Salve como .xlsx (no Google Drive, mantenha o formato .xlsx; não converta para Planilhas Google). 3. Na pasta do código, rode: npm run dados</t>
  </si>
  <si>
    <t xml:space="preserve">Abas</t>
  </si>
  <si>
    <t xml:space="preserve">Geral: um valor por parâmetro (módulo, esfera, descontos das regras, desenho, regras de encaixe).</t>
  </si>
  <si>
    <t xml:space="preserve">Peças: uma linha por código. As medidas saem das regras; preencher uma coluna 'medido' substitui a regra só para aquela peça.</t>
  </si>
  <si>
    <t xml:space="preserve">Kits: nome e cor de cada kit. Estoque: quantidade de cada peça por kit (uma coluna por kit).</t>
  </si>
  <si>
    <t xml:space="preserve">Regras de medida (aplicadas pelo script)</t>
  </si>
  <si>
    <t xml:space="preserve">Barra: comprimento = vão × modulo_mm − barra_desconto_mm.</t>
  </si>
  <si>
    <t xml:space="preserve">Diagonal: centro a centro = √(vãoA² + vãoB²) × modulo_mm; cabo = centro a centro − diagonal_desconto_mm.</t>
  </si>
  <si>
    <t xml:space="preserve">Placa: lado = vão × modulo_mm − placa_desconto_mm (nas duas direções).</t>
  </si>
  <si>
    <t xml:space="preserve">Chapa de base: chapa_modulos_x × modulo_mm por chapa_modulos_y × modulo_mm.</t>
  </si>
  <si>
    <t xml:space="preserve">As colunas cinza (prévia) mostram o resultado com fórmulas só para conferência. Quem manda é o script.</t>
  </si>
  <si>
    <t xml:space="preserve">Legenda</t>
  </si>
  <si>
    <t xml:space="preserve">Amarelo = editar. Cinza-azulado = prévia calculada (não editar). Status: desenho (pranchas 2022), calculado, estimado (chute para o programa funcionar), medido (paquímetro), a medir.</t>
  </si>
  <si>
    <t xml:space="preserve">Não renomeie a coluna Parâmetro (Geral) nem os títulos das colunas: o script lê por esses nomes. Tipos válidos: node = esfera, support = ligação de base, connector = ligações, bar = barra, cable = diagonal, plate = placa, ground = chapa. Fonte das quantidades: molamodel.com/pages/compare-products (08/10/2026).</t>
  </si>
  <si>
    <t xml:space="preserve">Exemplo: medir a B6 e achar 75,2 mm → aba Peças, linha B6, coluna 'Comprimento medido' = 75,2 e Status = medido. As outras barras continuam pela regra.</t>
  </si>
  <si>
    <t xml:space="preserve">Parâmetro</t>
  </si>
  <si>
    <t xml:space="preserve">Valor</t>
  </si>
  <si>
    <t xml:space="preserve">Unid.</t>
  </si>
  <si>
    <t xml:space="preserve">Descrição</t>
  </si>
  <si>
    <t xml:space="preserve">Fonte</t>
  </si>
  <si>
    <t xml:space="preserve">Status</t>
  </si>
  <si>
    <t xml:space="preserve">Unidades</t>
  </si>
  <si>
    <t xml:space="preserve">modulo_mm</t>
  </si>
  <si>
    <t xml:space="preserve">mm</t>
  </si>
  <si>
    <t xml:space="preserve">Módulo M: distância entre linhas da grade; B6 = 6M entre centros de esfera</t>
  </si>
  <si>
    <t xml:space="preserve">pranchas 2022</t>
  </si>
  <si>
    <t xml:space="preserve">desenho</t>
  </si>
  <si>
    <t xml:space="preserve">Geometria comum</t>
  </si>
  <si>
    <t xml:space="preserve">esfera_diametro_mm</t>
  </si>
  <si>
    <t xml:space="preserve">Diâmetro da esfera (C)</t>
  </si>
  <si>
    <t xml:space="preserve">barra_diametro_mm</t>
  </si>
  <si>
    <t xml:space="preserve">Diâmetro externo da mola</t>
  </si>
  <si>
    <t xml:space="preserve">barra_desconto_mm</t>
  </si>
  <si>
    <t xml:space="preserve">Comprimento da barra = vão × M − este valor</t>
  </si>
  <si>
    <t xml:space="preserve">diagonal_desconto_mm</t>
  </si>
  <si>
    <t xml:space="preserve">Cabo = centro a centro − este valor (D6x6: 126,1 − 101,5)</t>
  </si>
  <si>
    <t xml:space="preserve">diagonal_terminal_mm</t>
  </si>
  <si>
    <t xml:space="preserve">Lado do terminal da diagonal</t>
  </si>
  <si>
    <t xml:space="preserve">cabo_diametro_mm</t>
  </si>
  <si>
    <t xml:space="preserve">Diâmetro do cabo da diagonal</t>
  </si>
  <si>
    <t xml:space="preserve">estimado</t>
  </si>
  <si>
    <t xml:space="preserve">placa_desconto_mm</t>
  </si>
  <si>
    <t xml:space="preserve">Lado da placa = vão × M − este valor</t>
  </si>
  <si>
    <t xml:space="preserve">placa_espessura_mm</t>
  </si>
  <si>
    <t xml:space="preserve">Espessura das placas</t>
  </si>
  <si>
    <t xml:space="preserve">gc_diametro_mm</t>
  </si>
  <si>
    <t xml:space="preserve">Diâmetro da ligação de base (GC)</t>
  </si>
  <si>
    <t xml:space="preserve">gc_altura_mm</t>
  </si>
  <si>
    <t xml:space="preserve">Altura da GC</t>
  </si>
  <si>
    <t xml:space="preserve">gc_centro_esfera_mm</t>
  </si>
  <si>
    <t xml:space="preserve">Altura do centro da esfera embutida na GC, acima da chapa (a GC já tem esfera: E17)</t>
  </si>
  <si>
    <t xml:space="preserve">rc90_cateto_mm</t>
  </si>
  <si>
    <t xml:space="preserve">Lado maior da RC90 (forma trapezoidal: ímã no topo vai na esfera, dois ímãs laterais vão nas molas, E03)</t>
  </si>
  <si>
    <t xml:space="preserve">rc90_espessura_mm</t>
  </si>
  <si>
    <t xml:space="preserve">Espessura da RC90</t>
  </si>
  <si>
    <t xml:space="preserve">Chapa de base</t>
  </si>
  <si>
    <t xml:space="preserve">chapa_modulos_x</t>
  </si>
  <si>
    <t xml:space="preserve">M</t>
  </si>
  <si>
    <t xml:space="preserve">Módulos da grade na direção longa</t>
  </si>
  <si>
    <t xml:space="preserve">chapa_modulos_y</t>
  </si>
  <si>
    <t xml:space="preserve">Módulos da grade na direção curta</t>
  </si>
  <si>
    <t xml:space="preserve">chapa_espessura_mm</t>
  </si>
  <si>
    <t xml:space="preserve">Espessura da chapa</t>
  </si>
  <si>
    <t xml:space="preserve">Desenho (pranchas)</t>
  </si>
  <si>
    <t xml:space="preserve">prancha_escala</t>
  </si>
  <si>
    <t xml:space="preserve">auto</t>
  </si>
  <si>
    <t xml:space="preserve">1:n</t>
  </si>
  <si>
    <t xml:space="preserve">auto = escolhe pela dimensão da estrutura (P01); ou um número (2 = 1/2) para fixar</t>
  </si>
  <si>
    <t xml:space="preserve">confirmado</t>
  </si>
  <si>
    <t xml:space="preserve">prancha_formato</t>
  </si>
  <si>
    <t xml:space="preserve">A3</t>
  </si>
  <si>
    <t xml:space="preserve">Formato da folha</t>
  </si>
  <si>
    <t xml:space="preserve">prancha_projeto</t>
  </si>
  <si>
    <t xml:space="preserve">DESAFIO POLI-USP 2026</t>
  </si>
  <si>
    <t xml:space="preserve">Valor inicial do campo do carimbo; editável no programa (P06)</t>
  </si>
  <si>
    <t xml:space="preserve">Regras de encaixe</t>
  </si>
  <si>
    <t xml:space="preserve">angulo_minimo_membros_graus</t>
  </si>
  <si>
    <t xml:space="preserve">°</t>
  </si>
  <si>
    <t xml:space="preserve">Menor ângulo entre duas peças na mesma esfera (E14); limita a 8 por plano (E13)</t>
  </si>
  <si>
    <t xml:space="preserve">equipe</t>
  </si>
  <si>
    <t xml:space="preserve">max_membros_por_plano</t>
  </si>
  <si>
    <t xml:space="preserve">un</t>
  </si>
  <si>
    <t xml:space="preserve">Máximo de barras/diagonais numa esfera dentro de um mesmo plano (E13)</t>
  </si>
  <si>
    <t xml:space="preserve">gc_encaixe_padrao</t>
  </si>
  <si>
    <t xml:space="preserve">grade</t>
  </si>
  <si>
    <t xml:space="preserve">grade = GC encaixa nos cruzamentos da chapa; livre = qualquer ponto (E16). O usuário alterna no programa</t>
  </si>
  <si>
    <t xml:space="preserve">tolerancia_encaixe_mm</t>
  </si>
  <si>
    <t xml:space="preserve">Diferença máxima aceita entre o comprimento da peça e a distância entre os nós</t>
  </si>
  <si>
    <t xml:space="preserve">Código</t>
  </si>
  <si>
    <t xml:space="preserve">Nome</t>
  </si>
  <si>
    <t xml:space="preserve">Tipo</t>
  </si>
  <si>
    <t xml:space="preserve">Vão A (M)</t>
  </si>
  <si>
    <t xml:space="preserve">Vão B (M)</t>
  </si>
  <si>
    <t xml:space="preserve">Comprimento (prévia mm)</t>
  </si>
  <si>
    <t xml:space="preserve">Largura (prévia mm)</t>
  </si>
  <si>
    <t xml:space="preserve">Comprimento medido</t>
  </si>
  <si>
    <t xml:space="preserve">Largura medida</t>
  </si>
  <si>
    <t xml:space="preserve">Altura/espessura medida</t>
  </si>
  <si>
    <t xml:space="preserve">Comportamento</t>
  </si>
  <si>
    <t xml:space="preserve">Observações</t>
  </si>
  <si>
    <t xml:space="preserve">C</t>
  </si>
  <si>
    <t xml:space="preserve">Esfera</t>
  </si>
  <si>
    <t xml:space="preserve">node</t>
  </si>
  <si>
    <t xml:space="preserve">Diâmetro em Geral</t>
  </si>
  <si>
    <t xml:space="preserve">GC</t>
  </si>
  <si>
    <t xml:space="preserve">Ligação de base</t>
  </si>
  <si>
    <t xml:space="preserve">support</t>
  </si>
  <si>
    <t xml:space="preserve">Tem esfera embutida (E17). Centro da GC deve ficar dentro da chapa, borda inclusive (E18)</t>
  </si>
  <si>
    <t xml:space="preserve">RC90</t>
  </si>
  <si>
    <t xml:space="preserve">Ligação rígida 90°</t>
  </si>
  <si>
    <t xml:space="preserve">connector</t>
  </si>
  <si>
    <t xml:space="preserve">Trapezoidal; prende na esfera e nas duas molas a 90°. Uma por canto; na GC, opcional uma de cada lado (E03, E04)</t>
  </si>
  <si>
    <t xml:space="preserve">CC</t>
  </si>
  <si>
    <t xml:space="preserve">Ligação contínua</t>
  </si>
  <si>
    <t xml:space="preserve">a medir</t>
  </si>
  <si>
    <t xml:space="preserve">Forma 1 da caixa do Kit 2 (trapézio baixo). Vai direto na esfera, ligando duas molas alinhadas: enrijece o nó a 180° (E05). Medidas: preencher as colunas medidas</t>
  </si>
  <si>
    <t xml:space="preserve">CC90</t>
  </si>
  <si>
    <t xml:space="preserve">Ligação contínua 90° (sobreposta)</t>
  </si>
  <si>
    <t xml:space="preserve">Forma 2 da caixa do Kit 2 (chapéu alto). Vai por cima de uma CC no mesmo nó, enrijecendo um segundo par de molas alinhadas, perpendicular ao primeiro: forma um X. Exige CC no nó. Medidas: preencher as colunas medidas</t>
  </si>
  <si>
    <t xml:space="preserve">B4</t>
  </si>
  <si>
    <t xml:space="preserve">Barra B4</t>
  </si>
  <si>
    <t xml:space="preserve">bar</t>
  </si>
  <si>
    <t xml:space="preserve">tração, compressão e flexão</t>
  </si>
  <si>
    <t xml:space="preserve">calculado</t>
  </si>
  <si>
    <t xml:space="preserve">B6</t>
  </si>
  <si>
    <t xml:space="preserve">Barra B6</t>
  </si>
  <si>
    <t xml:space="preserve">Equipe mediu ≈ 75 mm (08/10/2026); a regra dá 74,6. Medida aproximada: mantida a regra</t>
  </si>
  <si>
    <t xml:space="preserve">B12</t>
  </si>
  <si>
    <t xml:space="preserve">Barra B12</t>
  </si>
  <si>
    <t xml:space="preserve">D4x6</t>
  </si>
  <si>
    <t xml:space="preserve">Diagonal D4x6</t>
  </si>
  <si>
    <t xml:space="preserve">cable</t>
  </si>
  <si>
    <t xml:space="preserve">só tração</t>
  </si>
  <si>
    <t xml:space="preserve">D6x6</t>
  </si>
  <si>
    <t xml:space="preserve">Diagonal D6x6</t>
  </si>
  <si>
    <t xml:space="preserve">D6x12</t>
  </si>
  <si>
    <t xml:space="preserve">Diagonal D6x12</t>
  </si>
  <si>
    <t xml:space="preserve">P6x6</t>
  </si>
  <si>
    <t xml:space="preserve">Placa P6x6</t>
  </si>
  <si>
    <t xml:space="preserve">plate</t>
  </si>
  <si>
    <t xml:space="preserve">Liga nas 4 esferas pelos chanfros com ímã; barras no contorno recomendadas (E07, E08)</t>
  </si>
  <si>
    <t xml:space="preserve">P6x12</t>
  </si>
  <si>
    <t xml:space="preserve">Placa P6x12</t>
  </si>
  <si>
    <t xml:space="preserve">Vão A = comprimento, Vão B = largura. Liga nas 4 esferas (E07)</t>
  </si>
  <si>
    <t xml:space="preserve">G</t>
  </si>
  <si>
    <t xml:space="preserve">ground</t>
  </si>
  <si>
    <t xml:space="preserve">Tamanho pela grade em Geral</t>
  </si>
  <si>
    <t xml:space="preserve">Kit</t>
  </si>
  <si>
    <t xml:space="preserve">Cor</t>
  </si>
  <si>
    <t xml:space="preserve">Peças (site oficial)</t>
  </si>
  <si>
    <t xml:space="preserve">Mola Structural Kit 1</t>
  </si>
  <si>
    <t xml:space="preserve">#1DB88E</t>
  </si>
  <si>
    <t xml:space="preserve">Verde</t>
  </si>
  <si>
    <t xml:space="preserve">Mola Structural Kit 2</t>
  </si>
  <si>
    <t xml:space="preserve">#E5484D</t>
  </si>
  <si>
    <t xml:space="preserve">Vermelho</t>
  </si>
  <si>
    <t xml:space="preserve">Para incluir o Kit 3 ou 4: adicione uma linha aqui e uma coluna 'Kit 3' na aba Estoque.</t>
  </si>
  <si>
    <t xml:space="preserve">Kit 1</t>
  </si>
  <si>
    <t xml:space="preserve">Kit 2</t>
  </si>
  <si>
    <t xml:space="preserve">Total</t>
  </si>
  <si>
    <t xml:space="preserve">Conferir: Kit 1 = 122, Kit 2 = 145 (site oficial). A linha Total não é lida pelo script.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</si>
</sst>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#"/>
    <numFmt numFmtId="166" formatCode="0.0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E5E7EB"/>
        <bgColor rgb="FFEEF2F7"/>
      </patternFill>
    </fill>
    <fill>
      <patternFill patternType="solid">
        <fgColor rgb="FFFFF4B3"/>
        <bgColor rgb="FFFFFF99"/>
      </patternFill>
    </fill>
    <fill>
      <patternFill patternType="solid">
        <fgColor rgb="FFEEF2F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3"/>
      <rgbColor rgb="FFEEF2F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5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35.05" hidden="false" customHeight="false" outlineLevel="0" collapsed="false">
      <c r="A21" s="2" t="s">
        <v>16</v>
      </c>
    </row>
    <row r="22" customFormat="false" ht="23.8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11"/>
  </cols>
  <sheetData>
    <row r="1" customFormat="false" ht="31.5" hidden="false" customHeight="tru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</row>
    <row r="2" customFormat="false" ht="15" hidden="false" customHeight="false" outlineLevel="0" collapsed="false">
      <c r="A2" s="5" t="s">
        <v>24</v>
      </c>
      <c r="B2" s="6"/>
      <c r="C2" s="6"/>
      <c r="D2" s="6"/>
      <c r="E2" s="6"/>
      <c r="F2" s="6"/>
    </row>
    <row r="3" customFormat="false" ht="23.85" hidden="false" customHeight="false" outlineLevel="0" collapsed="false">
      <c r="A3" s="7" t="s">
        <v>25</v>
      </c>
      <c r="B3" s="8" t="n">
        <v>14.87</v>
      </c>
      <c r="C3" s="7" t="s">
        <v>26</v>
      </c>
      <c r="D3" s="7" t="s">
        <v>27</v>
      </c>
      <c r="E3" s="7" t="s">
        <v>28</v>
      </c>
      <c r="F3" s="9" t="s">
        <v>29</v>
      </c>
    </row>
    <row r="4" customFormat="false" ht="15" hidden="false" customHeight="false" outlineLevel="0" collapsed="false">
      <c r="A4" s="5" t="s">
        <v>30</v>
      </c>
      <c r="B4" s="6"/>
      <c r="C4" s="6"/>
      <c r="D4" s="6"/>
      <c r="E4" s="6"/>
      <c r="F4" s="6"/>
    </row>
    <row r="5" customFormat="false" ht="15" hidden="false" customHeight="false" outlineLevel="0" collapsed="false">
      <c r="A5" s="7" t="s">
        <v>31</v>
      </c>
      <c r="B5" s="8" t="n">
        <v>15</v>
      </c>
      <c r="C5" s="7" t="s">
        <v>26</v>
      </c>
      <c r="D5" s="7" t="s">
        <v>32</v>
      </c>
      <c r="E5" s="7" t="s">
        <v>28</v>
      </c>
      <c r="F5" s="9" t="s">
        <v>29</v>
      </c>
    </row>
    <row r="6" customFormat="false" ht="15" hidden="false" customHeight="false" outlineLevel="0" collapsed="false">
      <c r="A6" s="7" t="s">
        <v>33</v>
      </c>
      <c r="B6" s="8" t="n">
        <v>6</v>
      </c>
      <c r="C6" s="7" t="s">
        <v>26</v>
      </c>
      <c r="D6" s="7" t="s">
        <v>34</v>
      </c>
      <c r="E6" s="7" t="s">
        <v>28</v>
      </c>
      <c r="F6" s="9" t="s">
        <v>29</v>
      </c>
    </row>
    <row r="7" customFormat="false" ht="15" hidden="false" customHeight="false" outlineLevel="0" collapsed="false">
      <c r="A7" s="7" t="s">
        <v>35</v>
      </c>
      <c r="B7" s="8" t="n">
        <v>14.6</v>
      </c>
      <c r="C7" s="7" t="s">
        <v>26</v>
      </c>
      <c r="D7" s="7" t="s">
        <v>36</v>
      </c>
      <c r="E7" s="7" t="s">
        <v>28</v>
      </c>
      <c r="F7" s="9" t="s">
        <v>29</v>
      </c>
    </row>
    <row r="8" customFormat="false" ht="15" hidden="false" customHeight="false" outlineLevel="0" collapsed="false">
      <c r="A8" s="7" t="s">
        <v>37</v>
      </c>
      <c r="B8" s="8" t="n">
        <v>24.6</v>
      </c>
      <c r="C8" s="7" t="s">
        <v>26</v>
      </c>
      <c r="D8" s="7" t="s">
        <v>38</v>
      </c>
      <c r="E8" s="7" t="s">
        <v>28</v>
      </c>
      <c r="F8" s="9" t="s">
        <v>29</v>
      </c>
    </row>
    <row r="9" customFormat="false" ht="15" hidden="false" customHeight="false" outlineLevel="0" collapsed="false">
      <c r="A9" s="7" t="s">
        <v>39</v>
      </c>
      <c r="B9" s="8" t="n">
        <v>5.2</v>
      </c>
      <c r="C9" s="7" t="s">
        <v>26</v>
      </c>
      <c r="D9" s="7" t="s">
        <v>40</v>
      </c>
      <c r="E9" s="7" t="s">
        <v>28</v>
      </c>
      <c r="F9" s="9" t="s">
        <v>29</v>
      </c>
    </row>
    <row r="10" customFormat="false" ht="15" hidden="false" customHeight="false" outlineLevel="0" collapsed="false">
      <c r="A10" s="7" t="s">
        <v>41</v>
      </c>
      <c r="B10" s="8" t="n">
        <v>1</v>
      </c>
      <c r="C10" s="7" t="s">
        <v>26</v>
      </c>
      <c r="D10" s="7" t="s">
        <v>42</v>
      </c>
      <c r="E10" s="7"/>
      <c r="F10" s="9" t="s">
        <v>43</v>
      </c>
    </row>
    <row r="11" customFormat="false" ht="15" hidden="false" customHeight="false" outlineLevel="0" collapsed="false">
      <c r="A11" s="7" t="s">
        <v>44</v>
      </c>
      <c r="B11" s="8" t="n">
        <v>7.3</v>
      </c>
      <c r="C11" s="7" t="s">
        <v>26</v>
      </c>
      <c r="D11" s="7" t="s">
        <v>45</v>
      </c>
      <c r="E11" s="7" t="s">
        <v>28</v>
      </c>
      <c r="F11" s="9" t="s">
        <v>29</v>
      </c>
    </row>
    <row r="12" customFormat="false" ht="15" hidden="false" customHeight="false" outlineLevel="0" collapsed="false">
      <c r="A12" s="7" t="s">
        <v>46</v>
      </c>
      <c r="B12" s="8" t="n">
        <v>4</v>
      </c>
      <c r="C12" s="7" t="s">
        <v>26</v>
      </c>
      <c r="D12" s="7" t="s">
        <v>47</v>
      </c>
      <c r="E12" s="7" t="s">
        <v>28</v>
      </c>
      <c r="F12" s="9" t="s">
        <v>43</v>
      </c>
    </row>
    <row r="13" customFormat="false" ht="15" hidden="false" customHeight="false" outlineLevel="0" collapsed="false">
      <c r="A13" s="7" t="s">
        <v>48</v>
      </c>
      <c r="B13" s="8" t="n">
        <v>44</v>
      </c>
      <c r="C13" s="7" t="s">
        <v>26</v>
      </c>
      <c r="D13" s="7" t="s">
        <v>49</v>
      </c>
      <c r="E13" s="7" t="s">
        <v>28</v>
      </c>
      <c r="F13" s="9" t="s">
        <v>29</v>
      </c>
    </row>
    <row r="14" customFormat="false" ht="15" hidden="false" customHeight="false" outlineLevel="0" collapsed="false">
      <c r="A14" s="7" t="s">
        <v>50</v>
      </c>
      <c r="B14" s="8" t="n">
        <v>10.5</v>
      </c>
      <c r="C14" s="7" t="s">
        <v>26</v>
      </c>
      <c r="D14" s="7" t="s">
        <v>51</v>
      </c>
      <c r="E14" s="7" t="s">
        <v>28</v>
      </c>
      <c r="F14" s="9" t="s">
        <v>29</v>
      </c>
    </row>
    <row r="15" customFormat="false" ht="23.85" hidden="false" customHeight="false" outlineLevel="0" collapsed="false">
      <c r="A15" s="7" t="s">
        <v>52</v>
      </c>
      <c r="B15" s="8" t="n">
        <v>7.5</v>
      </c>
      <c r="C15" s="7" t="s">
        <v>26</v>
      </c>
      <c r="D15" s="7" t="s">
        <v>53</v>
      </c>
      <c r="E15" s="7" t="s">
        <v>28</v>
      </c>
      <c r="F15" s="9" t="s">
        <v>29</v>
      </c>
    </row>
    <row r="16" customFormat="false" ht="23.85" hidden="false" customHeight="false" outlineLevel="0" collapsed="false">
      <c r="A16" s="7" t="s">
        <v>54</v>
      </c>
      <c r="B16" s="8" t="n">
        <v>18.3</v>
      </c>
      <c r="C16" s="7" t="s">
        <v>26</v>
      </c>
      <c r="D16" s="7" t="s">
        <v>55</v>
      </c>
      <c r="E16" s="7" t="s">
        <v>28</v>
      </c>
      <c r="F16" s="9" t="s">
        <v>29</v>
      </c>
    </row>
    <row r="17" customFormat="false" ht="15" hidden="false" customHeight="false" outlineLevel="0" collapsed="false">
      <c r="A17" s="7" t="s">
        <v>56</v>
      </c>
      <c r="B17" s="8" t="n">
        <v>6</v>
      </c>
      <c r="C17" s="7" t="s">
        <v>26</v>
      </c>
      <c r="D17" s="7" t="s">
        <v>57</v>
      </c>
      <c r="E17" s="7" t="s">
        <v>28</v>
      </c>
      <c r="F17" s="9" t="s">
        <v>29</v>
      </c>
    </row>
    <row r="18" customFormat="false" ht="15" hidden="false" customHeight="false" outlineLevel="0" collapsed="false">
      <c r="A18" s="5" t="s">
        <v>58</v>
      </c>
      <c r="B18" s="6"/>
      <c r="C18" s="6"/>
      <c r="D18" s="6"/>
      <c r="E18" s="6"/>
      <c r="F18" s="6"/>
    </row>
    <row r="19" customFormat="false" ht="15" hidden="false" customHeight="false" outlineLevel="0" collapsed="false">
      <c r="A19" s="7" t="s">
        <v>59</v>
      </c>
      <c r="B19" s="9" t="n">
        <v>18</v>
      </c>
      <c r="C19" s="7" t="s">
        <v>60</v>
      </c>
      <c r="D19" s="7" t="s">
        <v>61</v>
      </c>
      <c r="E19" s="7" t="s">
        <v>28</v>
      </c>
      <c r="F19" s="9" t="s">
        <v>29</v>
      </c>
    </row>
    <row r="20" customFormat="false" ht="15" hidden="false" customHeight="false" outlineLevel="0" collapsed="false">
      <c r="A20" s="7" t="s">
        <v>62</v>
      </c>
      <c r="B20" s="9" t="n">
        <v>12</v>
      </c>
      <c r="C20" s="7" t="s">
        <v>60</v>
      </c>
      <c r="D20" s="7" t="s">
        <v>63</v>
      </c>
      <c r="E20" s="7" t="s">
        <v>28</v>
      </c>
      <c r="F20" s="9" t="s">
        <v>29</v>
      </c>
    </row>
    <row r="21" customFormat="false" ht="15" hidden="false" customHeight="false" outlineLevel="0" collapsed="false">
      <c r="A21" s="7" t="s">
        <v>64</v>
      </c>
      <c r="B21" s="8" t="n">
        <v>3</v>
      </c>
      <c r="C21" s="7" t="s">
        <v>26</v>
      </c>
      <c r="D21" s="7" t="s">
        <v>65</v>
      </c>
      <c r="E21" s="7"/>
      <c r="F21" s="9" t="s">
        <v>43</v>
      </c>
    </row>
    <row r="22" customFormat="false" ht="15" hidden="false" customHeight="false" outlineLevel="0" collapsed="false">
      <c r="A22" s="5" t="s">
        <v>66</v>
      </c>
      <c r="B22" s="6"/>
      <c r="C22" s="6"/>
      <c r="D22" s="6"/>
      <c r="E22" s="6"/>
      <c r="F22" s="6"/>
    </row>
    <row r="23" customFormat="false" ht="23.85" hidden="false" customHeight="false" outlineLevel="0" collapsed="false">
      <c r="A23" s="7" t="s">
        <v>67</v>
      </c>
      <c r="B23" s="9" t="s">
        <v>68</v>
      </c>
      <c r="C23" s="7" t="s">
        <v>69</v>
      </c>
      <c r="D23" s="7" t="s">
        <v>70</v>
      </c>
      <c r="E23" s="7"/>
      <c r="F23" s="9" t="s">
        <v>71</v>
      </c>
    </row>
    <row r="24" customFormat="false" ht="15" hidden="false" customHeight="false" outlineLevel="0" collapsed="false">
      <c r="A24" s="7" t="s">
        <v>72</v>
      </c>
      <c r="B24" s="9" t="s">
        <v>73</v>
      </c>
      <c r="C24" s="7"/>
      <c r="D24" s="7" t="s">
        <v>74</v>
      </c>
      <c r="E24" s="7" t="s">
        <v>28</v>
      </c>
      <c r="F24" s="9" t="s">
        <v>29</v>
      </c>
    </row>
    <row r="25" customFormat="false" ht="35.05" hidden="false" customHeight="false" outlineLevel="0" collapsed="false">
      <c r="A25" s="7" t="s">
        <v>75</v>
      </c>
      <c r="B25" s="9" t="s">
        <v>76</v>
      </c>
      <c r="C25" s="7"/>
      <c r="D25" s="7" t="s">
        <v>77</v>
      </c>
      <c r="E25" s="7"/>
      <c r="F25" s="9" t="s">
        <v>71</v>
      </c>
    </row>
    <row r="26" customFormat="false" ht="15" hidden="false" customHeight="false" outlineLevel="0" collapsed="false">
      <c r="A26" s="5" t="s">
        <v>78</v>
      </c>
      <c r="B26" s="6"/>
      <c r="C26" s="6"/>
      <c r="D26" s="6"/>
      <c r="E26" s="6"/>
      <c r="F26" s="6"/>
    </row>
    <row r="27" customFormat="false" ht="23.85" hidden="false" customHeight="false" outlineLevel="0" collapsed="false">
      <c r="A27" s="7" t="s">
        <v>79</v>
      </c>
      <c r="B27" s="9" t="n">
        <v>45</v>
      </c>
      <c r="C27" s="7" t="s">
        <v>80</v>
      </c>
      <c r="D27" s="7" t="s">
        <v>81</v>
      </c>
      <c r="E27" s="7" t="s">
        <v>82</v>
      </c>
      <c r="F27" s="9" t="s">
        <v>71</v>
      </c>
    </row>
    <row r="28" customFormat="false" ht="23.85" hidden="false" customHeight="false" outlineLevel="0" collapsed="false">
      <c r="A28" s="7" t="s">
        <v>83</v>
      </c>
      <c r="B28" s="9" t="n">
        <v>8</v>
      </c>
      <c r="C28" s="7" t="s">
        <v>84</v>
      </c>
      <c r="D28" s="7" t="s">
        <v>85</v>
      </c>
      <c r="E28" s="7" t="s">
        <v>82</v>
      </c>
      <c r="F28" s="9" t="s">
        <v>71</v>
      </c>
    </row>
    <row r="29" customFormat="false" ht="23.85" hidden="false" customHeight="false" outlineLevel="0" collapsed="false">
      <c r="A29" s="7" t="s">
        <v>86</v>
      </c>
      <c r="B29" s="9" t="s">
        <v>87</v>
      </c>
      <c r="C29" s="7"/>
      <c r="D29" s="7" t="s">
        <v>88</v>
      </c>
      <c r="E29" s="7" t="s">
        <v>82</v>
      </c>
      <c r="F29" s="9" t="s">
        <v>71</v>
      </c>
    </row>
    <row r="30" customFormat="false" ht="23.85" hidden="false" customHeight="false" outlineLevel="0" collapsed="false">
      <c r="A30" s="7" t="s">
        <v>89</v>
      </c>
      <c r="B30" s="8" t="n">
        <v>0.5</v>
      </c>
      <c r="C30" s="7" t="s">
        <v>26</v>
      </c>
      <c r="D30" s="7" t="s">
        <v>90</v>
      </c>
      <c r="E30" s="7"/>
      <c r="F30" s="9" t="s">
        <v>43</v>
      </c>
    </row>
  </sheetData>
  <dataValidations count="1">
    <dataValidation allowBlank="true" errorStyle="stop" operator="between" showDropDown="false" showErrorMessage="false" showInputMessage="false" sqref="F3 F5:F17 F19:F21 F23:F25 F27:F30" type="list">
      <formula1>"desenho,calculado,estimado,medido,confirmado,a medir"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0" min="10" style="0" width="13"/>
    <col collapsed="false" customWidth="true" hidden="false" outlineLevel="0" max="11" min="11" style="0" width="24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31.5" hidden="false" customHeight="true" outlineLevel="0" collapsed="false">
      <c r="A1" s="4" t="s">
        <v>91</v>
      </c>
      <c r="B1" s="4" t="s">
        <v>92</v>
      </c>
      <c r="C1" s="4" t="s">
        <v>93</v>
      </c>
      <c r="D1" s="4" t="s">
        <v>94</v>
      </c>
      <c r="E1" s="4" t="s">
        <v>95</v>
      </c>
      <c r="F1" s="4" t="s">
        <v>96</v>
      </c>
      <c r="G1" s="4" t="s">
        <v>97</v>
      </c>
      <c r="H1" s="4" t="s">
        <v>98</v>
      </c>
      <c r="I1" s="4" t="s">
        <v>99</v>
      </c>
      <c r="J1" s="4" t="s">
        <v>100</v>
      </c>
      <c r="K1" s="4" t="s">
        <v>101</v>
      </c>
      <c r="L1" s="4" t="s">
        <v>23</v>
      </c>
      <c r="M1" s="4" t="s">
        <v>102</v>
      </c>
    </row>
    <row r="2" customFormat="false" ht="15" hidden="false" customHeight="false" outlineLevel="0" collapsed="false">
      <c r="A2" s="9" t="s">
        <v>103</v>
      </c>
      <c r="B2" s="9" t="s">
        <v>104</v>
      </c>
      <c r="C2" s="7" t="s">
        <v>105</v>
      </c>
      <c r="D2" s="9"/>
      <c r="E2" s="9"/>
      <c r="F2" s="10" t="n">
        <f aca="false">esfera_diametro_mm</f>
        <v>15</v>
      </c>
      <c r="G2" s="10" t="n">
        <f aca="false">esfera_diametro_mm</f>
        <v>15</v>
      </c>
      <c r="H2" s="8"/>
      <c r="I2" s="8"/>
      <c r="J2" s="8"/>
      <c r="K2" s="9"/>
      <c r="L2" s="9" t="s">
        <v>29</v>
      </c>
      <c r="M2" s="9" t="s">
        <v>106</v>
      </c>
    </row>
    <row r="3" customFormat="false" ht="23.85" hidden="false" customHeight="false" outlineLevel="0" collapsed="false">
      <c r="A3" s="9" t="s">
        <v>107</v>
      </c>
      <c r="B3" s="9" t="s">
        <v>108</v>
      </c>
      <c r="C3" s="7" t="s">
        <v>109</v>
      </c>
      <c r="D3" s="9"/>
      <c r="E3" s="9"/>
      <c r="F3" s="10" t="n">
        <f aca="false">gc_diametro_mm</f>
        <v>44</v>
      </c>
      <c r="G3" s="10" t="n">
        <f aca="false">gc_diametro_mm</f>
        <v>44</v>
      </c>
      <c r="H3" s="8"/>
      <c r="I3" s="8"/>
      <c r="J3" s="8"/>
      <c r="K3" s="9"/>
      <c r="L3" s="9" t="s">
        <v>29</v>
      </c>
      <c r="M3" s="9" t="s">
        <v>110</v>
      </c>
    </row>
    <row r="4" customFormat="false" ht="35.05" hidden="false" customHeight="false" outlineLevel="0" collapsed="false">
      <c r="A4" s="9" t="s">
        <v>111</v>
      </c>
      <c r="B4" s="9" t="s">
        <v>112</v>
      </c>
      <c r="C4" s="7" t="s">
        <v>113</v>
      </c>
      <c r="D4" s="9"/>
      <c r="E4" s="9"/>
      <c r="F4" s="10" t="n">
        <f aca="false">rc90_cateto_mm</f>
        <v>18.3</v>
      </c>
      <c r="G4" s="10" t="n">
        <f aca="false">rc90_espessura_mm</f>
        <v>6</v>
      </c>
      <c r="H4" s="8"/>
      <c r="I4" s="8"/>
      <c r="J4" s="8"/>
      <c r="K4" s="9"/>
      <c r="L4" s="9" t="s">
        <v>29</v>
      </c>
      <c r="M4" s="9" t="s">
        <v>114</v>
      </c>
    </row>
    <row r="5" customFormat="false" ht="46.25" hidden="false" customHeight="false" outlineLevel="0" collapsed="false">
      <c r="A5" s="9" t="s">
        <v>115</v>
      </c>
      <c r="B5" s="9" t="s">
        <v>116</v>
      </c>
      <c r="C5" s="7" t="s">
        <v>113</v>
      </c>
      <c r="D5" s="9"/>
      <c r="E5" s="9"/>
      <c r="F5" s="10" t="str">
        <f aca="false">IF(H5="","",H5)</f>
        <v/>
      </c>
      <c r="G5" s="10" t="str">
        <f aca="false">IF(I5="","",I5)</f>
        <v/>
      </c>
      <c r="H5" s="8"/>
      <c r="I5" s="8"/>
      <c r="J5" s="8"/>
      <c r="K5" s="9"/>
      <c r="L5" s="9" t="s">
        <v>117</v>
      </c>
      <c r="M5" s="9" t="s">
        <v>118</v>
      </c>
    </row>
    <row r="6" customFormat="false" ht="57.45" hidden="false" customHeight="false" outlineLevel="0" collapsed="false">
      <c r="A6" s="9" t="s">
        <v>119</v>
      </c>
      <c r="B6" s="9" t="s">
        <v>120</v>
      </c>
      <c r="C6" s="7" t="s">
        <v>113</v>
      </c>
      <c r="D6" s="9"/>
      <c r="E6" s="9"/>
      <c r="F6" s="10" t="str">
        <f aca="false">IF(H6="","",H6)</f>
        <v/>
      </c>
      <c r="G6" s="10" t="str">
        <f aca="false">IF(I6="","",I6)</f>
        <v/>
      </c>
      <c r="H6" s="8"/>
      <c r="I6" s="8"/>
      <c r="J6" s="8"/>
      <c r="K6" s="9"/>
      <c r="L6" s="9" t="s">
        <v>117</v>
      </c>
      <c r="M6" s="9" t="s">
        <v>121</v>
      </c>
    </row>
    <row r="7" customFormat="false" ht="15" hidden="false" customHeight="false" outlineLevel="0" collapsed="false">
      <c r="A7" s="9" t="s">
        <v>122</v>
      </c>
      <c r="B7" s="9" t="s">
        <v>123</v>
      </c>
      <c r="C7" s="7" t="s">
        <v>124</v>
      </c>
      <c r="D7" s="9" t="n">
        <v>4</v>
      </c>
      <c r="E7" s="9"/>
      <c r="F7" s="10" t="n">
        <f aca="false">IF(H7&lt;&gt;"",H7,D7*modulo_mm-barra_desconto_mm)</f>
        <v>44.88</v>
      </c>
      <c r="G7" s="10" t="n">
        <f aca="false">barra_diametro_mm</f>
        <v>6</v>
      </c>
      <c r="H7" s="8"/>
      <c r="I7" s="8"/>
      <c r="J7" s="8"/>
      <c r="K7" s="9" t="s">
        <v>125</v>
      </c>
      <c r="L7" s="9" t="s">
        <v>126</v>
      </c>
      <c r="M7" s="9"/>
    </row>
    <row r="8" customFormat="false" ht="23.85" hidden="false" customHeight="false" outlineLevel="0" collapsed="false">
      <c r="A8" s="9" t="s">
        <v>127</v>
      </c>
      <c r="B8" s="9" t="s">
        <v>128</v>
      </c>
      <c r="C8" s="7" t="s">
        <v>124</v>
      </c>
      <c r="D8" s="9" t="n">
        <v>6</v>
      </c>
      <c r="E8" s="9"/>
      <c r="F8" s="10" t="n">
        <f aca="false">IF(H8&lt;&gt;"",H8,D8*modulo_mm-barra_desconto_mm)</f>
        <v>74.62</v>
      </c>
      <c r="G8" s="10" t="n">
        <f aca="false">barra_diametro_mm</f>
        <v>6</v>
      </c>
      <c r="H8" s="8"/>
      <c r="I8" s="8"/>
      <c r="J8" s="8"/>
      <c r="K8" s="9" t="s">
        <v>125</v>
      </c>
      <c r="L8" s="9" t="s">
        <v>71</v>
      </c>
      <c r="M8" s="9" t="s">
        <v>129</v>
      </c>
    </row>
    <row r="9" customFormat="false" ht="15" hidden="false" customHeight="false" outlineLevel="0" collapsed="false">
      <c r="A9" s="9" t="s">
        <v>130</v>
      </c>
      <c r="B9" s="9" t="s">
        <v>131</v>
      </c>
      <c r="C9" s="7" t="s">
        <v>124</v>
      </c>
      <c r="D9" s="9" t="n">
        <v>12</v>
      </c>
      <c r="E9" s="9"/>
      <c r="F9" s="10" t="n">
        <f aca="false">IF(H9&lt;&gt;"",H9,D9*modulo_mm-barra_desconto_mm)</f>
        <v>163.84</v>
      </c>
      <c r="G9" s="10" t="n">
        <f aca="false">barra_diametro_mm</f>
        <v>6</v>
      </c>
      <c r="H9" s="8"/>
      <c r="I9" s="8"/>
      <c r="J9" s="8"/>
      <c r="K9" s="9" t="s">
        <v>125</v>
      </c>
      <c r="L9" s="9" t="s">
        <v>29</v>
      </c>
      <c r="M9" s="9"/>
    </row>
    <row r="10" customFormat="false" ht="15" hidden="false" customHeight="false" outlineLevel="0" collapsed="false">
      <c r="A10" s="9" t="s">
        <v>132</v>
      </c>
      <c r="B10" s="9" t="s">
        <v>133</v>
      </c>
      <c r="C10" s="7" t="s">
        <v>134</v>
      </c>
      <c r="D10" s="9" t="n">
        <v>4</v>
      </c>
      <c r="E10" s="9" t="n">
        <v>6</v>
      </c>
      <c r="F10" s="10" t="n">
        <f aca="false">IF(H10&lt;&gt;"",H10,SQRT(D10^2+E10^2)*modulo_mm-diagonal_desconto_mm)</f>
        <v>82.629094932299</v>
      </c>
      <c r="G10" s="10" t="n">
        <f aca="false">cabo_diametro_mm</f>
        <v>1</v>
      </c>
      <c r="H10" s="8"/>
      <c r="I10" s="8"/>
      <c r="J10" s="8"/>
      <c r="K10" s="9" t="s">
        <v>135</v>
      </c>
      <c r="L10" s="9" t="s">
        <v>126</v>
      </c>
      <c r="M10" s="9"/>
    </row>
    <row r="11" customFormat="false" ht="15" hidden="false" customHeight="false" outlineLevel="0" collapsed="false">
      <c r="A11" s="9" t="s">
        <v>136</v>
      </c>
      <c r="B11" s="9" t="s">
        <v>137</v>
      </c>
      <c r="C11" s="7" t="s">
        <v>134</v>
      </c>
      <c r="D11" s="9" t="n">
        <v>6</v>
      </c>
      <c r="E11" s="9" t="n">
        <v>6</v>
      </c>
      <c r="F11" s="10" t="n">
        <f aca="false">IF(H11&lt;&gt;"",H11,SQRT(D11^2+E11^2)*modulo_mm-diagonal_desconto_mm)</f>
        <v>101.576134034928</v>
      </c>
      <c r="G11" s="10" t="n">
        <f aca="false">cabo_diametro_mm</f>
        <v>1</v>
      </c>
      <c r="H11" s="8"/>
      <c r="I11" s="8"/>
      <c r="J11" s="8"/>
      <c r="K11" s="9" t="s">
        <v>135</v>
      </c>
      <c r="L11" s="9" t="s">
        <v>29</v>
      </c>
      <c r="M11" s="9"/>
    </row>
    <row r="12" customFormat="false" ht="15" hidden="false" customHeight="false" outlineLevel="0" collapsed="false">
      <c r="A12" s="9" t="s">
        <v>138</v>
      </c>
      <c r="B12" s="9" t="s">
        <v>139</v>
      </c>
      <c r="C12" s="7" t="s">
        <v>134</v>
      </c>
      <c r="D12" s="9" t="n">
        <v>6</v>
      </c>
      <c r="E12" s="9" t="n">
        <v>12</v>
      </c>
      <c r="F12" s="10" t="n">
        <f aca="false">IF(H12&lt;&gt;"",H12,SQRT(D12^2+E12^2)*modulo_mm-diagonal_desconto_mm)</f>
        <v>174.901984952531</v>
      </c>
      <c r="G12" s="10" t="n">
        <f aca="false">cabo_diametro_mm</f>
        <v>1</v>
      </c>
      <c r="H12" s="8"/>
      <c r="I12" s="8"/>
      <c r="J12" s="8"/>
      <c r="K12" s="9" t="s">
        <v>135</v>
      </c>
      <c r="L12" s="9" t="s">
        <v>126</v>
      </c>
      <c r="M12" s="9"/>
    </row>
    <row r="13" customFormat="false" ht="23.85" hidden="false" customHeight="false" outlineLevel="0" collapsed="false">
      <c r="A13" s="9" t="s">
        <v>140</v>
      </c>
      <c r="B13" s="9" t="s">
        <v>141</v>
      </c>
      <c r="C13" s="7" t="s">
        <v>142</v>
      </c>
      <c r="D13" s="9" t="n">
        <v>6</v>
      </c>
      <c r="E13" s="9" t="n">
        <v>6</v>
      </c>
      <c r="F13" s="10" t="n">
        <f aca="false">IF(H13&lt;&gt;"",H13,D13*modulo_mm-placa_desconto_mm)</f>
        <v>81.92</v>
      </c>
      <c r="G13" s="10" t="n">
        <f aca="false">IF(I13&lt;&gt;"",I13,E13*modulo_mm-placa_desconto_mm)</f>
        <v>81.92</v>
      </c>
      <c r="H13" s="8"/>
      <c r="I13" s="8"/>
      <c r="J13" s="8"/>
      <c r="K13" s="9"/>
      <c r="L13" s="9" t="s">
        <v>29</v>
      </c>
      <c r="M13" s="9" t="s">
        <v>143</v>
      </c>
    </row>
    <row r="14" customFormat="false" ht="23.85" hidden="false" customHeight="false" outlineLevel="0" collapsed="false">
      <c r="A14" s="9" t="s">
        <v>144</v>
      </c>
      <c r="B14" s="9" t="s">
        <v>145</v>
      </c>
      <c r="C14" s="7" t="s">
        <v>142</v>
      </c>
      <c r="D14" s="9" t="n">
        <v>12</v>
      </c>
      <c r="E14" s="9" t="n">
        <v>6</v>
      </c>
      <c r="F14" s="10" t="n">
        <f aca="false">IF(H14&lt;&gt;"",H14,D14*modulo_mm-placa_desconto_mm)</f>
        <v>171.14</v>
      </c>
      <c r="G14" s="10" t="n">
        <f aca="false">IF(I14&lt;&gt;"",I14,E14*modulo_mm-placa_desconto_mm)</f>
        <v>81.92</v>
      </c>
      <c r="H14" s="8"/>
      <c r="I14" s="8"/>
      <c r="J14" s="8"/>
      <c r="K14" s="9"/>
      <c r="L14" s="9" t="s">
        <v>29</v>
      </c>
      <c r="M14" s="9" t="s">
        <v>146</v>
      </c>
    </row>
    <row r="15" customFormat="false" ht="15" hidden="false" customHeight="false" outlineLevel="0" collapsed="false">
      <c r="A15" s="9" t="s">
        <v>147</v>
      </c>
      <c r="B15" s="9" t="s">
        <v>58</v>
      </c>
      <c r="C15" s="7" t="s">
        <v>148</v>
      </c>
      <c r="D15" s="9"/>
      <c r="E15" s="9"/>
      <c r="F15" s="10" t="n">
        <f aca="false">chapa_modulos_x*modulo_mm</f>
        <v>267.66</v>
      </c>
      <c r="G15" s="10" t="n">
        <f aca="false">chapa_modulos_y*modulo_mm</f>
        <v>178.44</v>
      </c>
      <c r="H15" s="8"/>
      <c r="I15" s="8"/>
      <c r="J15" s="8"/>
      <c r="K15" s="9"/>
      <c r="L15" s="9" t="s">
        <v>29</v>
      </c>
      <c r="M15" s="9" t="s">
        <v>149</v>
      </c>
    </row>
  </sheetData>
  <dataValidations count="2">
    <dataValidation allowBlank="true" errorStyle="stop" operator="between" showDropDown="false" showErrorMessage="false" showInputMessage="false" sqref="L2:L15" type="list">
      <formula1>"desenho,calculado,estimado,medido,confirmado,a medir"</formula1>
      <formula2>0</formula2>
    </dataValidation>
    <dataValidation allowBlank="false" errorStyle="stop" operator="between" showDropDown="false" showErrorMessage="false" showInputMessage="false" sqref="C2:C15" type="list">
      <formula1>"node,support,connector,bar,cable,plate,ground"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31.5" hidden="false" customHeight="true" outlineLevel="0" collapsed="false">
      <c r="A1" s="4" t="s">
        <v>150</v>
      </c>
      <c r="B1" s="4" t="s">
        <v>92</v>
      </c>
      <c r="C1" s="4" t="s">
        <v>151</v>
      </c>
      <c r="D1" s="4" t="s">
        <v>152</v>
      </c>
      <c r="E1" s="4" t="s">
        <v>102</v>
      </c>
    </row>
    <row r="2" customFormat="false" ht="15" hidden="false" customHeight="false" outlineLevel="0" collapsed="false">
      <c r="A2" s="11" t="n">
        <v>1</v>
      </c>
      <c r="B2" s="11" t="s">
        <v>153</v>
      </c>
      <c r="C2" s="11" t="s">
        <v>154</v>
      </c>
      <c r="D2" s="11" t="n">
        <v>122</v>
      </c>
      <c r="E2" s="11" t="s">
        <v>155</v>
      </c>
    </row>
    <row r="3" customFormat="false" ht="15" hidden="false" customHeight="false" outlineLevel="0" collapsed="false">
      <c r="A3" s="11" t="n">
        <v>2</v>
      </c>
      <c r="B3" s="11" t="s">
        <v>156</v>
      </c>
      <c r="C3" s="11" t="s">
        <v>157</v>
      </c>
      <c r="D3" s="11" t="n">
        <v>145</v>
      </c>
      <c r="E3" s="11" t="s">
        <v>158</v>
      </c>
    </row>
    <row r="5" customFormat="false" ht="15" hidden="false" customHeight="false" outlineLevel="0" collapsed="false">
      <c r="A5" s="12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9"/>
  </cols>
  <sheetData>
    <row r="1" customFormat="false" ht="31.5" hidden="false" customHeight="true" outlineLevel="0" collapsed="false">
      <c r="A1" s="4" t="s">
        <v>91</v>
      </c>
      <c r="B1" s="4" t="s">
        <v>160</v>
      </c>
      <c r="C1" s="4" t="s">
        <v>161</v>
      </c>
    </row>
    <row r="2" customFormat="false" ht="15" hidden="false" customHeight="false" outlineLevel="0" collapsed="false">
      <c r="A2" s="13" t="s">
        <v>103</v>
      </c>
      <c r="B2" s="11" t="n">
        <v>12</v>
      </c>
      <c r="C2" s="11" t="n">
        <v>18</v>
      </c>
    </row>
    <row r="3" customFormat="false" ht="15" hidden="false" customHeight="false" outlineLevel="0" collapsed="false">
      <c r="A3" s="13" t="s">
        <v>107</v>
      </c>
      <c r="B3" s="11" t="n">
        <v>4</v>
      </c>
      <c r="C3" s="11" t="n">
        <v>6</v>
      </c>
    </row>
    <row r="4" customFormat="false" ht="15" hidden="false" customHeight="false" outlineLevel="0" collapsed="false">
      <c r="A4" s="13" t="s">
        <v>111</v>
      </c>
      <c r="B4" s="11" t="n">
        <v>48</v>
      </c>
      <c r="C4" s="11" t="n">
        <v>12</v>
      </c>
    </row>
    <row r="5" customFormat="false" ht="15" hidden="false" customHeight="false" outlineLevel="0" collapsed="false">
      <c r="A5" s="13" t="s">
        <v>115</v>
      </c>
      <c r="B5" s="11" t="n">
        <v>0</v>
      </c>
      <c r="C5" s="11" t="n">
        <v>12</v>
      </c>
    </row>
    <row r="6" customFormat="false" ht="15" hidden="false" customHeight="false" outlineLevel="0" collapsed="false">
      <c r="A6" s="13" t="s">
        <v>119</v>
      </c>
      <c r="B6" s="11" t="n">
        <v>0</v>
      </c>
      <c r="C6" s="11" t="n">
        <v>12</v>
      </c>
    </row>
    <row r="7" customFormat="false" ht="15" hidden="false" customHeight="false" outlineLevel="0" collapsed="false">
      <c r="A7" s="13" t="s">
        <v>122</v>
      </c>
      <c r="B7" s="11" t="n">
        <v>0</v>
      </c>
      <c r="C7" s="11" t="n">
        <v>18</v>
      </c>
    </row>
    <row r="8" customFormat="false" ht="15" hidden="false" customHeight="false" outlineLevel="0" collapsed="false">
      <c r="A8" s="13" t="s">
        <v>127</v>
      </c>
      <c r="B8" s="11" t="n">
        <v>24</v>
      </c>
      <c r="C8" s="11" t="n">
        <v>30</v>
      </c>
    </row>
    <row r="9" customFormat="false" ht="15" hidden="false" customHeight="false" outlineLevel="0" collapsed="false">
      <c r="A9" s="13" t="s">
        <v>130</v>
      </c>
      <c r="B9" s="11" t="n">
        <v>6</v>
      </c>
      <c r="C9" s="11" t="n">
        <v>0</v>
      </c>
    </row>
    <row r="10" customFormat="false" ht="15" hidden="false" customHeight="false" outlineLevel="0" collapsed="false">
      <c r="A10" s="13" t="s">
        <v>132</v>
      </c>
      <c r="B10" s="11" t="n">
        <v>0</v>
      </c>
      <c r="C10" s="11" t="n">
        <v>24</v>
      </c>
    </row>
    <row r="11" customFormat="false" ht="15" hidden="false" customHeight="false" outlineLevel="0" collapsed="false">
      <c r="A11" s="13" t="s">
        <v>136</v>
      </c>
      <c r="B11" s="11" t="n">
        <v>12</v>
      </c>
      <c r="C11" s="11" t="n">
        <v>9</v>
      </c>
    </row>
    <row r="12" customFormat="false" ht="15" hidden="false" customHeight="false" outlineLevel="0" collapsed="false">
      <c r="A12" s="13" t="s">
        <v>138</v>
      </c>
      <c r="B12" s="11" t="n">
        <v>12</v>
      </c>
      <c r="C12" s="11" t="n">
        <v>0</v>
      </c>
    </row>
    <row r="13" customFormat="false" ht="15" hidden="false" customHeight="false" outlineLevel="0" collapsed="false">
      <c r="A13" s="13" t="s">
        <v>140</v>
      </c>
      <c r="B13" s="11" t="n">
        <v>0</v>
      </c>
      <c r="C13" s="11" t="n">
        <v>3</v>
      </c>
    </row>
    <row r="14" customFormat="false" ht="15" hidden="false" customHeight="false" outlineLevel="0" collapsed="false">
      <c r="A14" s="13" t="s">
        <v>144</v>
      </c>
      <c r="B14" s="11" t="n">
        <v>3</v>
      </c>
      <c r="C14" s="11" t="n">
        <v>0</v>
      </c>
    </row>
    <row r="15" customFormat="false" ht="15" hidden="false" customHeight="false" outlineLevel="0" collapsed="false">
      <c r="A15" s="13" t="s">
        <v>147</v>
      </c>
      <c r="B15" s="11" t="n">
        <v>1</v>
      </c>
      <c r="C15" s="11" t="n">
        <v>1</v>
      </c>
    </row>
    <row r="16" customFormat="false" ht="15" hidden="false" customHeight="false" outlineLevel="0" collapsed="false">
      <c r="A16" s="14" t="s">
        <v>162</v>
      </c>
      <c r="B16" s="15" t="n">
        <f aca="false">SUM(B2:B15)</f>
        <v>122</v>
      </c>
      <c r="C16" s="15" t="n">
        <f aca="false">SUM(C2:C15)</f>
        <v>145</v>
      </c>
    </row>
    <row r="17" customFormat="false" ht="15" hidden="false" customHeight="false" outlineLevel="0" collapsed="false">
      <c r="A17" s="1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2026-10-08T16:34:05Z</dcterms:created>
  <dc:creator>openpyxl</dc:creator>
  <dc:description/>
  <dc:language>en-US</dc:language>
  <cp:lastModifiedBy/>
  <dcterms:modified xsi:type="dcterms:W3CDTF">2026-10-08T16:34:05Z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