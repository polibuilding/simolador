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Leia-me" state="visible" r:id="rId4"/>
    <sheet sheetId="2" name="Geral" state="visible" r:id="rId5"/>
    <sheet sheetId="3" name="Peças" state="visible" r:id="rId6"/>
    <sheet sheetId="4" name="Kits" state="visible" r:id="rId7"/>
    <sheet sheetId="5" name="Estoque" state="visible" r:id="rId8"/>
  </sheets>
  <definedNames>
    <definedName name="angulo_minimo_membros_graus">Geral!$B$27</definedName>
    <definedName name="barra_desconto_mm">Geral!$B$7</definedName>
    <definedName name="barra_diametro_mm">Geral!$B$6</definedName>
    <definedName name="cabo_diametro_mm">Geral!$B$10</definedName>
    <definedName name="chapa_espessura_mm">Geral!$B$21</definedName>
    <definedName name="chapa_modulos_x">Geral!$B$19</definedName>
    <definedName name="chapa_modulos_y">Geral!$B$20</definedName>
    <definedName name="diagonal_desconto_mm">Geral!$B$8</definedName>
    <definedName name="diagonal_terminal_mm">Geral!$B$9</definedName>
    <definedName name="esfera_diametro_mm">Geral!$B$5</definedName>
    <definedName name="gc_altura_mm">Geral!$B$14</definedName>
    <definedName name="gc_centro_esfera_mm">Geral!$B$15</definedName>
    <definedName name="gc_diametro_mm">Geral!$B$13</definedName>
    <definedName name="gc_encaixe_padrao">Geral!$B$29</definedName>
    <definedName name="max_membros_por_plano">Geral!$B$28</definedName>
    <definedName name="modulo_mm">Geral!$B$3</definedName>
    <definedName name="placa_desconto_mm">Geral!$B$11</definedName>
    <definedName name="placa_espessura_mm">Geral!$B$12</definedName>
    <definedName name="prancha_escala">Geral!$B$23</definedName>
    <definedName name="prancha_formato">Geral!$B$24</definedName>
    <definedName name="prancha_projeto">Geral!$B$25</definedName>
    <definedName name="rc90_cateto_mm">Geral!$B$16</definedName>
    <definedName name="rc90_espessura_mm">Geral!$B$17</definedName>
    <definedName name="tolerancia_encaixe_mm">Geral!$B$30</definedName>
  </definedNames>
  <calcPr calcId="171027"/>
</workbook>
</file>

<file path=xl/sharedStrings.xml><?xml version="1.0" encoding="utf-8"?>
<sst xmlns="http://schemas.openxmlformats.org/spreadsheetml/2006/main" count="371" uniqueCount="226">
  <si>
    <t>siMOLAdor: parâmetros (fonte dos dados do programa)</t>
  </si>
  <si>
    <t>Esta planilha alimenta o programa. O script scripts/gerar-dados.mjs lê este arquivo e gera data/catalog.json e data/kits.json. Não edite os JSON à mão: edite aqui e rode o comando.</t>
  </si>
  <si>
    <t>Como atualizar</t>
  </si>
  <si>
    <t>1. Edite só as células amarelas. 2. Salve como .xlsx (no Google Drive, mantenha o formato .xlsx; não converta para Planilhas Google). 3. Na pasta do código, rode: npm run dados</t>
  </si>
  <si>
    <t>Abas</t>
  </si>
  <si>
    <t>Geral: um valor por parâmetro (módulo, esfera, descontos das regras, desenho, regras de encaixe).</t>
  </si>
  <si>
    <t>Peças: uma linha por código. As medidas saem das regras; preencher uma coluna 'medido' substitui a regra só para aquela peça.</t>
  </si>
  <si>
    <t>Kits: nome e cor de cada kit. Estoque: quantidade de cada peça por kit (uma coluna por kit).</t>
  </si>
  <si>
    <t>Regras de medida (aplicadas pelo script)</t>
  </si>
  <si>
    <t>Barra: comprimento = vão × modulo_mm − barra_desconto_mm.</t>
  </si>
  <si>
    <t>Diagonal: centro a centro = √(vãoA² + vãoB²) × modulo_mm; cabo = centro a centro − diagonal_desconto_mm.</t>
  </si>
  <si>
    <t>Placa: lado = vão × modulo_mm − placa_desconto_mm (nas duas direções).</t>
  </si>
  <si>
    <t>Chapa de base: chapa_modulos_x × modulo_mm por chapa_modulos_y × modulo_mm. Cabo (Kit 3): cada pedaço sai da distância entre as esferas, em bolinhas (cabo_passo_mm).</t>
  </si>
  <si>
    <t>As colunas cinza (prévia) mostram o resultado com fórmulas só para conferência. Quem manda é o script.</t>
  </si>
  <si>
    <t>Legenda</t>
  </si>
  <si>
    <t>Amarelo = editar. Cinza-azulado = prévia calculada (não editar). Status: desenho (pranchas 2022), calculado, estimado (chute para o programa funcionar), medido (paquímetro), a medir.</t>
  </si>
  <si>
    <t>Não renomeie a coluna Parâmetro (Geral) nem os títulos das colunas: o script lê por esses nomes. Tipos válidos: node = esfera, support = ligação de base, connector = ligações, bar = barra, cable = diagonal, plate = placa, ground = chapa, rope = cabo (Kit 3), accessory = ligações, clipes e anéis de cabo (entram sozinhos), stiffener = enrijecedor. Fonte das quantidades: molamodel.com/pages/compare-products (08/10/2026).</t>
  </si>
  <si>
    <t>Exemplo: medir a B6 e achar 75,2 mm → aba Peças, linha B6, coluna 'Comprimento medido' = 75,2 e Status = medido. As outras barras continuam pela regra.</t>
  </si>
  <si>
    <t>Parâmetro</t>
  </si>
  <si>
    <t>Valor</t>
  </si>
  <si>
    <t>Unid.</t>
  </si>
  <si>
    <t>Descrição</t>
  </si>
  <si>
    <t>Fonte</t>
  </si>
  <si>
    <t>Status</t>
  </si>
  <si>
    <t>Unidades</t>
  </si>
  <si>
    <t>modulo_mm</t>
  </si>
  <si>
    <t>mm</t>
  </si>
  <si>
    <t>Módulo M: distância entre linhas da grade; B6 = 6M entre centros de esfera</t>
  </si>
  <si>
    <t>pranchas 2022</t>
  </si>
  <si>
    <t>desenho</t>
  </si>
  <si>
    <t>Geometria comum</t>
  </si>
  <si>
    <t>esfera_diametro_mm</t>
  </si>
  <si>
    <t>Diâmetro da esfera (C)</t>
  </si>
  <si>
    <t>barra_diametro_mm</t>
  </si>
  <si>
    <t>Diâmetro externo da mola</t>
  </si>
  <si>
    <t>barra_desconto_mm</t>
  </si>
  <si>
    <t>Comprimento da barra = vão × M − este valor</t>
  </si>
  <si>
    <t>diagonal_desconto_mm</t>
  </si>
  <si>
    <t>Cabo = centro a centro − este valor (D6x6: 126,1 − 101,5)</t>
  </si>
  <si>
    <t>diagonal_terminal_mm</t>
  </si>
  <si>
    <t>Lado do terminal da diagonal</t>
  </si>
  <si>
    <t>cabo_diametro_mm</t>
  </si>
  <si>
    <t>Diâmetro do cabo da diagonal</t>
  </si>
  <si>
    <t>estimado</t>
  </si>
  <si>
    <t>placa_desconto_mm</t>
  </si>
  <si>
    <t>Lado da placa = vão × M − este valor</t>
  </si>
  <si>
    <t>placa_espessura_mm</t>
  </si>
  <si>
    <t>Espessura das placas</t>
  </si>
  <si>
    <t>gc_diametro_mm</t>
  </si>
  <si>
    <t>Diâmetro da ligação de base (GC)</t>
  </si>
  <si>
    <t>gc_altura_mm</t>
  </si>
  <si>
    <t>Altura da GC</t>
  </si>
  <si>
    <t>gc_centro_esfera_mm</t>
  </si>
  <si>
    <t>Altura do centro da esfera embutida na GC, acima da chapa (a GC já tem esfera: E17)</t>
  </si>
  <si>
    <t>rc90_cateto_mm</t>
  </si>
  <si>
    <t>Lado maior da RC90 (forma trapezoidal: ímã no topo vai na esfera, dois ímãs laterais vão nas molas, E03)</t>
  </si>
  <si>
    <t>rc90_espessura_mm</t>
  </si>
  <si>
    <t>Espessura da RC90</t>
  </si>
  <si>
    <t>Chapa de base</t>
  </si>
  <si>
    <t>chapa_modulos_x</t>
  </si>
  <si>
    <t>M</t>
  </si>
  <si>
    <t>Módulos da grade na direção longa</t>
  </si>
  <si>
    <t>chapa_modulos_y</t>
  </si>
  <si>
    <t>Módulos da grade na direção curta</t>
  </si>
  <si>
    <t>chapa_espessura_mm</t>
  </si>
  <si>
    <t>Espessura da chapa</t>
  </si>
  <si>
    <t>Desenho (pranchas)</t>
  </si>
  <si>
    <t>prancha_escala</t>
  </si>
  <si>
    <t>auto</t>
  </si>
  <si>
    <t>1:n</t>
  </si>
  <si>
    <t>auto = escolhe pela dimensão da estrutura (P01); ou um número (2 = 1/2) para fixar</t>
  </si>
  <si>
    <t>confirmado</t>
  </si>
  <si>
    <t>prancha_formato</t>
  </si>
  <si>
    <t>A3</t>
  </si>
  <si>
    <t>Formato da folha</t>
  </si>
  <si>
    <t>prancha_projeto</t>
  </si>
  <si>
    <t>DESAFIO POLI-USP 2026</t>
  </si>
  <si>
    <t>Valor inicial do campo do carimbo; editável no programa (P06)</t>
  </si>
  <si>
    <t>Regras de encaixe</t>
  </si>
  <si>
    <t>angulo_minimo_membros_graus</t>
  </si>
  <si>
    <t>°</t>
  </si>
  <si>
    <t>Menor ângulo entre duas molas na mesma esfera (E14; equipe 13/10: 40°)</t>
  </si>
  <si>
    <t>equipe 13/10</t>
  </si>
  <si>
    <t>max_membros_por_plano</t>
  </si>
  <si>
    <t>un</t>
  </si>
  <si>
    <t>Máximo de barras/diagonais numa esfera dentro de um mesmo plano (E13)</t>
  </si>
  <si>
    <t>equipe</t>
  </si>
  <si>
    <t>gc_encaixe_padrao</t>
  </si>
  <si>
    <t>grade</t>
  </si>
  <si>
    <t>grade = GC encaixa nos cruzamentos da chapa; livre = qualquer ponto (E16). O usuário alterna no programa</t>
  </si>
  <si>
    <t>tolerancia_encaixe_mm</t>
  </si>
  <si>
    <t>Diferença máxima aceita entre o comprimento da peça e a distância entre os nós</t>
  </si>
  <si>
    <t>passo_inclinacao_graus</t>
  </si>
  <si>
    <t>Passo do ângulo das barras inclinadas nos planos X, Y e Z (0 = só eixos). Barras entre duas esferas existentes ignoram o passo</t>
  </si>
  <si>
    <t>gc_angulo_minimo_base_graus</t>
  </si>
  <si>
    <t>Menor ângulo entre uma mola presa na GC e a chapa (base): 40° → a mola inclina no máximo 50° a partir da vertical (o aparato rígido em volta da esfera da GC limita)</t>
  </si>
  <si>
    <t>Cabos e enrijecedores (Kit 3)</t>
  </si>
  <si>
    <t>cabo_passo_mm</t>
  </si>
  <si>
    <t>Distância entre os centros de duas bolinhas vizinhas do cabo (corrente de bolinhas). Para medir: conte as bolinhas em 10 cm (≈ 31) e divida 100 mm pela contagem</t>
  </si>
  <si>
    <t>calibrado pela equipe (26/10): a diagonal de um quadrado de 12M x 12M pede 60 bolinhas para ficar esticada</t>
  </si>
  <si>
    <t>calibrado</t>
  </si>
  <si>
    <t>cabo_bolinha_mm</t>
  </si>
  <si>
    <t>Diâmetro da bolinha do cabo</t>
  </si>
  <si>
    <t>fotos do Kit 3 (estimado)</t>
  </si>
  <si>
    <t>cabo_rolo_mm</t>
  </si>
  <si>
    <t>Comprimento do cabo que vem no Kit 3 (cortado na hora de montar)</t>
  </si>
  <si>
    <t>site oficial</t>
  </si>
  <si>
    <t>cabo_ligacao_mm</t>
  </si>
  <si>
    <t>Ligação de cabo (CABLE C): da superfície da esfera até a ponta do anel (mola com ímã + anel)</t>
  </si>
  <si>
    <t>cabo_clip_mm</t>
  </si>
  <si>
    <t>Clip de cabo (CABLE CLIP C): do anel da CABLE C até o centro da bolinha da ponta do cabo</t>
  </si>
  <si>
    <t>cabo_pendural_mm</t>
  </si>
  <si>
    <t>Cabo preso no meio de outro (pendural): do centro da bolinha do cabo principal, no furo do meio do CABLE CLIP C, ao centro da primeira bolinha do pendural</t>
  </si>
  <si>
    <t>cabo_ajuste_mm</t>
  </si>
  <si>
    <t>Quanto a CABLE C estica girando (esticador): absorve a sobra de menos de uma bolinha</t>
  </si>
  <si>
    <t>manual do Kit 3 (estimado)</t>
  </si>
  <si>
    <t>cabo_angulo_minimo_graus</t>
  </si>
  <si>
    <t>Menor ângulo entre o cabo e outra peça na mesma esfera (a CABLE C precisa de lugar na esfera)</t>
  </si>
  <si>
    <t>a confirmar</t>
  </si>
  <si>
    <t>enrijecedor_diametro_mm</t>
  </si>
  <si>
    <t>Diâmetro externo do enrijecedor (tubo transparente em volta da mola)</t>
  </si>
  <si>
    <t>Código</t>
  </si>
  <si>
    <t>Nome</t>
  </si>
  <si>
    <t>Tipo</t>
  </si>
  <si>
    <t>Vão A (M)</t>
  </si>
  <si>
    <t>Vão B (M)</t>
  </si>
  <si>
    <t>Comprimento (prévia mm)</t>
  </si>
  <si>
    <t>Largura (prévia mm)</t>
  </si>
  <si>
    <t>Comprimento medido</t>
  </si>
  <si>
    <t>Largura medida</t>
  </si>
  <si>
    <t>Altura/espessura medida</t>
  </si>
  <si>
    <t>Comportamento</t>
  </si>
  <si>
    <t>Observações</t>
  </si>
  <si>
    <t>C</t>
  </si>
  <si>
    <t>Esfera</t>
  </si>
  <si>
    <t>node</t>
  </si>
  <si>
    <t>Diâmetro em Geral</t>
  </si>
  <si>
    <t>GC</t>
  </si>
  <si>
    <t>Ligação de base</t>
  </si>
  <si>
    <t>support</t>
  </si>
  <si>
    <t>Tem esfera embutida (E17). Centro da GC deve ficar dentro da chapa, borda inclusive (E18)</t>
  </si>
  <si>
    <t>RC90</t>
  </si>
  <si>
    <t>Ligação rígida 90°</t>
  </si>
  <si>
    <t>connector</t>
  </si>
  <si>
    <t>Trapezoidal; prende na esfera e nas duas molas a 90°. Uma por canto; na GC, opcional uma de cada lado (E03, E04)</t>
  </si>
  <si>
    <t>CC</t>
  </si>
  <si>
    <t>Ligação contínua</t>
  </si>
  <si>
    <t>a medir</t>
  </si>
  <si>
    <t>Forma 1 da caixa do Kit 2 (trapézio baixo). Vai direto na esfera, ligando duas molas alinhadas: enrijece o nó a 180° (E05). Medidas: preencher as colunas medidas</t>
  </si>
  <si>
    <t>CC90</t>
  </si>
  <si>
    <t>Ligação contínua 90° (sobreposta)</t>
  </si>
  <si>
    <t>Forma 2 da caixa do Kit 2 (chapéu alto). Vai por cima de uma CC no mesmo nó, enrijecendo um segundo par de molas alinhadas, perpendicular ao primeiro: forma um X. Exige CC no nó. Medidas: preencher as colunas medidas</t>
  </si>
  <si>
    <t>B4</t>
  </si>
  <si>
    <t>Barra B4</t>
  </si>
  <si>
    <t>bar</t>
  </si>
  <si>
    <t>tração, compressão e flexão</t>
  </si>
  <si>
    <t>calculado</t>
  </si>
  <si>
    <t>B6</t>
  </si>
  <si>
    <t>Barra B6</t>
  </si>
  <si>
    <t>Equipe mediu ≈ 75 mm (08/10/2026); a regra dá 74,6. Medida aproximada: mantida a regra</t>
  </si>
  <si>
    <t>B12</t>
  </si>
  <si>
    <t>Barra B12</t>
  </si>
  <si>
    <t>D4x6</t>
  </si>
  <si>
    <t>Diagonal D4x6</t>
  </si>
  <si>
    <t>cable</t>
  </si>
  <si>
    <t>só tração</t>
  </si>
  <si>
    <t>D6x6</t>
  </si>
  <si>
    <t>Diagonal D6x6</t>
  </si>
  <si>
    <t>D6x12</t>
  </si>
  <si>
    <t>Diagonal D6x12</t>
  </si>
  <si>
    <t>P6x6</t>
  </si>
  <si>
    <t>Placa P6x6</t>
  </si>
  <si>
    <t>plate</t>
  </si>
  <si>
    <t>Liga nas 4 esferas pelos chanfros com ímã; barras no contorno recomendadas (E07, E08)</t>
  </si>
  <si>
    <t>P6x12</t>
  </si>
  <si>
    <t>Placa P6x12</t>
  </si>
  <si>
    <t>Vão A = comprimento, Vão B = largura. Liga nas 4 esferas (E07)</t>
  </si>
  <si>
    <t>G</t>
  </si>
  <si>
    <t>ground</t>
  </si>
  <si>
    <t>Tamanho pela grade em Geral</t>
  </si>
  <si>
    <t>CABLE</t>
  </si>
  <si>
    <t>Cabo</t>
  </si>
  <si>
    <t>rope</t>
  </si>
  <si>
    <t>Corrente de bolinhas; vem um rolo de 3,35 m por Kit 3 e é cortado na montagem. Comprimento contado em bolinhas (régua do manual)</t>
  </si>
  <si>
    <t>CABLE-C</t>
  </si>
  <si>
    <t>Ligação de cabo (CABLE C)</t>
  </si>
  <si>
    <t>accessory</t>
  </si>
  <si>
    <t>esticador</t>
  </si>
  <si>
    <t>Duas partes enroscadas: ímã na esfera, anel na outra ponta; girar ajusta o comprimento. Entra sozinha: 2 por cabo</t>
  </si>
  <si>
    <t>CLIP-C</t>
  </si>
  <si>
    <t>Clip de cabo (CABLE CLIP C)</t>
  </si>
  <si>
    <t>Bolinha da ponta do cabo numa ponta, anel na outra; também une dois cabos. Entra sozinho: 2 por cabo</t>
  </si>
  <si>
    <t>MCLIP-C</t>
  </si>
  <si>
    <t>Clip de múltiplos cabos (M CABLE CLIP C)</t>
  </si>
  <si>
    <t>Até 5 cabos numa só CABLE C. Ainda não usado pelo programa</t>
  </si>
  <si>
    <t>RING-P</t>
  </si>
  <si>
    <t>Anel de cabo pequeno (CABLE R)</t>
  </si>
  <si>
    <t>Liga vários cabos num ponto (radial). Ainda não usado pelo programa</t>
  </si>
  <si>
    <t>RING-M</t>
  </si>
  <si>
    <t>Anel de cabo médio (CABLE R)</t>
  </si>
  <si>
    <t>BS6</t>
  </si>
  <si>
    <t>Enrijecedor B6 (BAR STIFFENER)</t>
  </si>
  <si>
    <t>stiffener</t>
  </si>
  <si>
    <t>deixa a mola rígida</t>
  </si>
  <si>
    <t>Tubo transparente em volta da mola B6</t>
  </si>
  <si>
    <t>BS12</t>
  </si>
  <si>
    <t>Enrijecedor B12 (BAR STIFFENER)</t>
  </si>
  <si>
    <t>Tubo transparente em volta da mola B12</t>
  </si>
  <si>
    <t>Kit</t>
  </si>
  <si>
    <t>Cor</t>
  </si>
  <si>
    <t>Peças (site oficial)</t>
  </si>
  <si>
    <t>Mola Structural Kit 1</t>
  </si>
  <si>
    <t>#1DB88E</t>
  </si>
  <si>
    <t>Verde</t>
  </si>
  <si>
    <t>Mola Structural Kit 2</t>
  </si>
  <si>
    <t>#E5484D</t>
  </si>
  <si>
    <t>Vermelho</t>
  </si>
  <si>
    <t>Mola Structural Kit 3</t>
  </si>
  <si>
    <t>#2F6FD6</t>
  </si>
  <si>
    <t>Azul. Cabos (3,35 m), ligações e clipes de cabo, anéis, enrijecedores, B6, B12, D6x6, D6x12, RC90, 2 chapas</t>
  </si>
  <si>
    <t>Para incluir o Kit 4 ou o Kit A: adicione uma linha aqui e uma coluna 'Kit N' na aba Estoque.</t>
  </si>
  <si>
    <t>Kit 1</t>
  </si>
  <si>
    <t>Kit 2</t>
  </si>
  <si>
    <t>Kit 3</t>
  </si>
  <si>
    <t>Total</t>
  </si>
  <si>
    <t>Conferir: Kit 1 = 122, Kit 2 = 145, Kit 3 = 205 (site oficial; o cabo conta como 1 peça). A linha Total não é lida pelo 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</si>
</sst>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#"/>
    <numFmt numFmtId="165" formatCode="0.0"/>
  </numFmts>
  <fonts count="7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sz val="14"/>
      <name val="Arial"/>
    </font>
    <font>
      <charset val="1"/>
      <sz val="10"/>
      <name val="Arial"/>
    </font>
    <font>
      <b/>
      <charset val="1"/>
      <sz val="10"/>
      <name val="Arial"/>
    </font>
    <font>
      <b/>
      <charset val="1"/>
      <color rgb="FFFFFFFF"/>
      <sz val="10"/>
      <name val="Arial"/>
    </font>
    <font>
      <i/>
      <charset val="1"/>
      <sz val="9"/>
      <name val="Arial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FF1F2937"/>
        <bgColor rgb="FF333300"/>
      </patternFill>
    </fill>
    <fill>
      <patternFill patternType="solid">
        <fgColor rgb="FFE5E7EB"/>
        <bgColor rgb="FFEEF2F7"/>
      </patternFill>
    </fill>
    <fill>
      <patternFill patternType="solid">
        <fgColor rgb="FFFFF4B3"/>
        <bgColor rgb="FFFFFF99"/>
      </patternFill>
    </fill>
    <fill>
      <patternFill patternType="solid">
        <fgColor rgb="FFEEF2F7"/>
        <b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bottom"/>
    </xf>
    <xf numFmtId="0" fontId="1" fillId="4" borderId="0" xfId="0" applyFont="1" applyFill="1" applyAlignment="1">
      <alignment vertical="bottom"/>
    </xf>
    <xf numFmtId="0" fontId="3" fillId="2" borderId="1" xfId="0" applyFont="1" applyFill="1" applyBorder="1" applyAlignment="1">
      <alignment vertical="top" wrapText="1"/>
    </xf>
    <xf numFmtId="164" fontId="3" fillId="5" borderId="1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165" fontId="3" fillId="6" borderId="1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3" fillId="2" borderId="1" xfId="0" applyFont="1" applyFill="1" applyBorder="1" applyAlignment="1">
      <alignment vertical="bottom"/>
    </xf>
    <xf numFmtId="0" fontId="4" fillId="2" borderId="0" xfId="0" applyFont="1" applyFill="1" applyAlignment="1">
      <alignment vertical="bottom"/>
    </xf>
    <xf numFmtId="0" fontId="4" fillId="6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2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125" style="1" customWidth="1"/>
  </cols>
  <sheetData>
    <row r="1" ht="17.35" customHeight="1" spans="1:1" s="2" customFormat="1" x14ac:dyDescent="0.25">
      <c r="A1" s="3" t="s">
        <v>0</v>
      </c>
    </row>
    <row r="2" ht="23.85" customHeight="1" spans="1:1" s="2" customFormat="1" x14ac:dyDescent="0.25">
      <c r="A2" s="4" t="s">
        <v>1</v>
      </c>
    </row>
    <row r="3" ht="15" customHeight="1" spans="1:1" s="2" customFormat="1" x14ac:dyDescent="0.25">
      <c r="A3" s="4"/>
    </row>
    <row r="4" ht="15" customHeight="1" spans="1:1" s="2" customFormat="1" x14ac:dyDescent="0.25">
      <c r="A4" s="5" t="s">
        <v>2</v>
      </c>
    </row>
    <row r="5" ht="23.85" customHeight="1" spans="1:1" s="2" customFormat="1" x14ac:dyDescent="0.25">
      <c r="A5" s="4" t="s">
        <v>3</v>
      </c>
    </row>
    <row r="6" ht="15" customHeight="1" spans="1:1" s="2" customFormat="1" x14ac:dyDescent="0.25">
      <c r="A6" s="4"/>
    </row>
    <row r="7" ht="15" customHeight="1" spans="1:1" s="2" customFormat="1" x14ac:dyDescent="0.25">
      <c r="A7" s="5" t="s">
        <v>4</v>
      </c>
    </row>
    <row r="8" ht="15" customHeight="1" spans="1:1" s="2" customFormat="1" x14ac:dyDescent="0.25">
      <c r="A8" s="4" t="s">
        <v>5</v>
      </c>
    </row>
    <row r="9" ht="15" customHeight="1" spans="1:1" s="2" customFormat="1" x14ac:dyDescent="0.25">
      <c r="A9" s="4" t="s">
        <v>6</v>
      </c>
    </row>
    <row r="10" ht="15" customHeight="1" spans="1:1" s="2" customFormat="1" x14ac:dyDescent="0.25">
      <c r="A10" s="4" t="s">
        <v>7</v>
      </c>
    </row>
    <row r="11" ht="15" customHeight="1" spans="1:1" s="2" customFormat="1" x14ac:dyDescent="0.25">
      <c r="A11" s="4"/>
    </row>
    <row r="12" ht="15" customHeight="1" spans="1:1" s="2" customFormat="1" x14ac:dyDescent="0.25">
      <c r="A12" s="5" t="s">
        <v>8</v>
      </c>
    </row>
    <row r="13" ht="15" customHeight="1" spans="1:1" s="2" customFormat="1" x14ac:dyDescent="0.25">
      <c r="A13" s="4" t="s">
        <v>9</v>
      </c>
    </row>
    <row r="14" ht="15" customHeight="1" spans="1:1" s="2" customFormat="1" x14ac:dyDescent="0.25">
      <c r="A14" s="4" t="s">
        <v>10</v>
      </c>
    </row>
    <row r="15" ht="15" customHeight="1" spans="1:1" s="2" customFormat="1" x14ac:dyDescent="0.25">
      <c r="A15" s="4" t="s">
        <v>11</v>
      </c>
    </row>
    <row r="16" ht="15" customHeight="1" spans="1:1" s="2" customFormat="1" x14ac:dyDescent="0.25">
      <c r="A16" s="4" t="s">
        <v>12</v>
      </c>
    </row>
    <row r="17" ht="15" customHeight="1" spans="1:1" s="2" customFormat="1" x14ac:dyDescent="0.25">
      <c r="A17" s="4" t="s">
        <v>13</v>
      </c>
    </row>
    <row r="18" ht="15" customHeight="1" spans="1:1" s="2" customFormat="1" x14ac:dyDescent="0.25">
      <c r="A18" s="4"/>
    </row>
    <row r="19" ht="15" customHeight="1" spans="1:1" s="2" customFormat="1" x14ac:dyDescent="0.25">
      <c r="A19" s="5" t="s">
        <v>14</v>
      </c>
    </row>
    <row r="20" ht="23.85" customHeight="1" spans="1:1" s="2" customFormat="1" x14ac:dyDescent="0.25">
      <c r="A20" s="4" t="s">
        <v>15</v>
      </c>
    </row>
    <row r="21" ht="35.05" customHeight="1" spans="1:1" s="2" customFormat="1" x14ac:dyDescent="0.25">
      <c r="A21" s="4" t="s">
        <v>16</v>
      </c>
    </row>
    <row r="22" ht="23.85" customHeight="1" spans="1:1" s="2" customFormat="1" x14ac:dyDescent="0.25">
      <c r="A22" s="4" t="s">
        <v>17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42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30" style="1" customWidth="1"/>
    <col min="2" max="2" width="10" style="1" customWidth="1"/>
    <col min="3" max="3" width="7" style="1" customWidth="1"/>
    <col min="4" max="4" width="60" style="1" customWidth="1"/>
    <col min="5" max="5" width="22" style="1" customWidth="1"/>
    <col min="6" max="6" width="11" style="1" customWidth="1"/>
  </cols>
  <sheetData>
    <row r="1" ht="31.5" customHeight="1" spans="1:6" s="2" customFormat="1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</row>
    <row r="2" ht="15" customHeight="1" spans="1:6" s="2" customFormat="1" x14ac:dyDescent="0.25">
      <c r="A2" s="7" t="s">
        <v>24</v>
      </c>
      <c r="B2" s="8"/>
      <c r="C2" s="8"/>
      <c r="D2" s="8"/>
      <c r="E2" s="8"/>
      <c r="F2" s="8"/>
    </row>
    <row r="3" ht="23.85" customHeight="1" spans="1:6" s="2" customFormat="1" x14ac:dyDescent="0.25">
      <c r="A3" s="9" t="s">
        <v>25</v>
      </c>
      <c r="B3" s="10">
        <v>14.87</v>
      </c>
      <c r="C3" s="9" t="s">
        <v>26</v>
      </c>
      <c r="D3" s="9" t="s">
        <v>27</v>
      </c>
      <c r="E3" s="9" t="s">
        <v>28</v>
      </c>
      <c r="F3" s="11" t="s">
        <v>29</v>
      </c>
    </row>
    <row r="4" ht="15" customHeight="1" spans="1:6" s="2" customFormat="1" x14ac:dyDescent="0.25">
      <c r="A4" s="7" t="s">
        <v>30</v>
      </c>
      <c r="B4" s="8"/>
      <c r="C4" s="8"/>
      <c r="D4" s="8"/>
      <c r="E4" s="8"/>
      <c r="F4" s="8"/>
    </row>
    <row r="5" ht="15" customHeight="1" spans="1:6" s="2" customFormat="1" x14ac:dyDescent="0.25">
      <c r="A5" s="9" t="s">
        <v>31</v>
      </c>
      <c r="B5" s="10">
        <v>15</v>
      </c>
      <c r="C5" s="9" t="s">
        <v>26</v>
      </c>
      <c r="D5" s="9" t="s">
        <v>32</v>
      </c>
      <c r="E5" s="9" t="s">
        <v>28</v>
      </c>
      <c r="F5" s="11" t="s">
        <v>29</v>
      </c>
    </row>
    <row r="6" ht="15" customHeight="1" spans="1:6" s="2" customFormat="1" x14ac:dyDescent="0.25">
      <c r="A6" s="9" t="s">
        <v>33</v>
      </c>
      <c r="B6" s="10">
        <v>6</v>
      </c>
      <c r="C6" s="9" t="s">
        <v>26</v>
      </c>
      <c r="D6" s="9" t="s">
        <v>34</v>
      </c>
      <c r="E6" s="9" t="s">
        <v>28</v>
      </c>
      <c r="F6" s="11" t="s">
        <v>29</v>
      </c>
    </row>
    <row r="7" ht="15" customHeight="1" spans="1:6" s="2" customFormat="1" x14ac:dyDescent="0.25">
      <c r="A7" s="9" t="s">
        <v>35</v>
      </c>
      <c r="B7" s="10">
        <v>14.6</v>
      </c>
      <c r="C7" s="9" t="s">
        <v>26</v>
      </c>
      <c r="D7" s="9" t="s">
        <v>36</v>
      </c>
      <c r="E7" s="9" t="s">
        <v>28</v>
      </c>
      <c r="F7" s="11" t="s">
        <v>29</v>
      </c>
    </row>
    <row r="8" ht="15" customHeight="1" spans="1:6" s="2" customFormat="1" x14ac:dyDescent="0.25">
      <c r="A8" s="9" t="s">
        <v>37</v>
      </c>
      <c r="B8" s="10">
        <v>24.6</v>
      </c>
      <c r="C8" s="9" t="s">
        <v>26</v>
      </c>
      <c r="D8" s="9" t="s">
        <v>38</v>
      </c>
      <c r="E8" s="9" t="s">
        <v>28</v>
      </c>
      <c r="F8" s="11" t="s">
        <v>29</v>
      </c>
    </row>
    <row r="9" ht="15" customHeight="1" spans="1:6" s="2" customFormat="1" x14ac:dyDescent="0.25">
      <c r="A9" s="9" t="s">
        <v>39</v>
      </c>
      <c r="B9" s="10">
        <v>5.2</v>
      </c>
      <c r="C9" s="9" t="s">
        <v>26</v>
      </c>
      <c r="D9" s="9" t="s">
        <v>40</v>
      </c>
      <c r="E9" s="9" t="s">
        <v>28</v>
      </c>
      <c r="F9" s="11" t="s">
        <v>29</v>
      </c>
    </row>
    <row r="10" ht="15" customHeight="1" spans="1:6" s="2" customFormat="1" x14ac:dyDescent="0.25">
      <c r="A10" s="9" t="s">
        <v>41</v>
      </c>
      <c r="B10" s="10">
        <v>1</v>
      </c>
      <c r="C10" s="9" t="s">
        <v>26</v>
      </c>
      <c r="D10" s="9" t="s">
        <v>42</v>
      </c>
      <c r="E10" s="9"/>
      <c r="F10" s="11" t="s">
        <v>43</v>
      </c>
    </row>
    <row r="11" ht="15" customHeight="1" spans="1:6" s="2" customFormat="1" x14ac:dyDescent="0.25">
      <c r="A11" s="9" t="s">
        <v>44</v>
      </c>
      <c r="B11" s="10">
        <v>7.3</v>
      </c>
      <c r="C11" s="9" t="s">
        <v>26</v>
      </c>
      <c r="D11" s="9" t="s">
        <v>45</v>
      </c>
      <c r="E11" s="9" t="s">
        <v>28</v>
      </c>
      <c r="F11" s="11" t="s">
        <v>29</v>
      </c>
    </row>
    <row r="12" ht="15" customHeight="1" spans="1:6" s="2" customFormat="1" x14ac:dyDescent="0.25">
      <c r="A12" s="9" t="s">
        <v>46</v>
      </c>
      <c r="B12" s="10">
        <v>4</v>
      </c>
      <c r="C12" s="9" t="s">
        <v>26</v>
      </c>
      <c r="D12" s="9" t="s">
        <v>47</v>
      </c>
      <c r="E12" s="9" t="s">
        <v>28</v>
      </c>
      <c r="F12" s="11" t="s">
        <v>43</v>
      </c>
    </row>
    <row r="13" ht="15" customHeight="1" spans="1:6" s="2" customFormat="1" x14ac:dyDescent="0.25">
      <c r="A13" s="9" t="s">
        <v>48</v>
      </c>
      <c r="B13" s="10">
        <v>44</v>
      </c>
      <c r="C13" s="9" t="s">
        <v>26</v>
      </c>
      <c r="D13" s="9" t="s">
        <v>49</v>
      </c>
      <c r="E13" s="9" t="s">
        <v>28</v>
      </c>
      <c r="F13" s="11" t="s">
        <v>29</v>
      </c>
    </row>
    <row r="14" ht="15" customHeight="1" spans="1:6" s="2" customFormat="1" x14ac:dyDescent="0.25">
      <c r="A14" s="9" t="s">
        <v>50</v>
      </c>
      <c r="B14" s="10">
        <v>10.5</v>
      </c>
      <c r="C14" s="9" t="s">
        <v>26</v>
      </c>
      <c r="D14" s="9" t="s">
        <v>51</v>
      </c>
      <c r="E14" s="9" t="s">
        <v>28</v>
      </c>
      <c r="F14" s="11" t="s">
        <v>29</v>
      </c>
    </row>
    <row r="15" ht="23.85" customHeight="1" spans="1:6" s="2" customFormat="1" x14ac:dyDescent="0.25">
      <c r="A15" s="9" t="s">
        <v>52</v>
      </c>
      <c r="B15" s="10">
        <v>7.5</v>
      </c>
      <c r="C15" s="9" t="s">
        <v>26</v>
      </c>
      <c r="D15" s="9" t="s">
        <v>53</v>
      </c>
      <c r="E15" s="9" t="s">
        <v>28</v>
      </c>
      <c r="F15" s="11" t="s">
        <v>29</v>
      </c>
    </row>
    <row r="16" ht="23.85" customHeight="1" spans="1:6" s="2" customFormat="1" x14ac:dyDescent="0.25">
      <c r="A16" s="9" t="s">
        <v>54</v>
      </c>
      <c r="B16" s="10">
        <v>18.3</v>
      </c>
      <c r="C16" s="9" t="s">
        <v>26</v>
      </c>
      <c r="D16" s="9" t="s">
        <v>55</v>
      </c>
      <c r="E16" s="9" t="s">
        <v>28</v>
      </c>
      <c r="F16" s="11" t="s">
        <v>29</v>
      </c>
    </row>
    <row r="17" ht="15" customHeight="1" spans="1:6" s="2" customFormat="1" x14ac:dyDescent="0.25">
      <c r="A17" s="9" t="s">
        <v>56</v>
      </c>
      <c r="B17" s="10">
        <v>6</v>
      </c>
      <c r="C17" s="9" t="s">
        <v>26</v>
      </c>
      <c r="D17" s="9" t="s">
        <v>57</v>
      </c>
      <c r="E17" s="9" t="s">
        <v>28</v>
      </c>
      <c r="F17" s="11" t="s">
        <v>29</v>
      </c>
    </row>
    <row r="18" ht="15" customHeight="1" spans="1:6" s="2" customFormat="1" x14ac:dyDescent="0.25">
      <c r="A18" s="7" t="s">
        <v>58</v>
      </c>
      <c r="B18" s="8"/>
      <c r="C18" s="8"/>
      <c r="D18" s="8"/>
      <c r="E18" s="8"/>
      <c r="F18" s="8"/>
    </row>
    <row r="19" ht="15" customHeight="1" spans="1:6" s="2" customFormat="1" x14ac:dyDescent="0.25">
      <c r="A19" s="9" t="s">
        <v>59</v>
      </c>
      <c r="B19" s="11">
        <v>18</v>
      </c>
      <c r="C19" s="9" t="s">
        <v>60</v>
      </c>
      <c r="D19" s="9" t="s">
        <v>61</v>
      </c>
      <c r="E19" s="9" t="s">
        <v>28</v>
      </c>
      <c r="F19" s="11" t="s">
        <v>29</v>
      </c>
    </row>
    <row r="20" ht="15" customHeight="1" spans="1:6" s="2" customFormat="1" x14ac:dyDescent="0.25">
      <c r="A20" s="9" t="s">
        <v>62</v>
      </c>
      <c r="B20" s="11">
        <v>12</v>
      </c>
      <c r="C20" s="9" t="s">
        <v>60</v>
      </c>
      <c r="D20" s="9" t="s">
        <v>63</v>
      </c>
      <c r="E20" s="9" t="s">
        <v>28</v>
      </c>
      <c r="F20" s="11" t="s">
        <v>29</v>
      </c>
    </row>
    <row r="21" ht="15" customHeight="1" spans="1:6" s="2" customFormat="1" x14ac:dyDescent="0.25">
      <c r="A21" s="9" t="s">
        <v>64</v>
      </c>
      <c r="B21" s="10">
        <v>3</v>
      </c>
      <c r="C21" s="9" t="s">
        <v>26</v>
      </c>
      <c r="D21" s="9" t="s">
        <v>65</v>
      </c>
      <c r="E21" s="9"/>
      <c r="F21" s="11" t="s">
        <v>43</v>
      </c>
    </row>
    <row r="22" ht="15" customHeight="1" spans="1:6" s="2" customFormat="1" x14ac:dyDescent="0.25">
      <c r="A22" s="7" t="s">
        <v>66</v>
      </c>
      <c r="B22" s="8"/>
      <c r="C22" s="8"/>
      <c r="D22" s="8"/>
      <c r="E22" s="8"/>
      <c r="F22" s="8"/>
    </row>
    <row r="23" ht="23.85" customHeight="1" spans="1:6" s="2" customFormat="1" x14ac:dyDescent="0.25">
      <c r="A23" s="9" t="s">
        <v>67</v>
      </c>
      <c r="B23" s="11" t="s">
        <v>68</v>
      </c>
      <c r="C23" s="9" t="s">
        <v>69</v>
      </c>
      <c r="D23" s="9" t="s">
        <v>70</v>
      </c>
      <c r="E23" s="9"/>
      <c r="F23" s="11" t="s">
        <v>71</v>
      </c>
    </row>
    <row r="24" ht="15" customHeight="1" spans="1:6" s="2" customFormat="1" x14ac:dyDescent="0.25">
      <c r="A24" s="9" t="s">
        <v>72</v>
      </c>
      <c r="B24" s="11" t="s">
        <v>73</v>
      </c>
      <c r="C24" s="9"/>
      <c r="D24" s="9" t="s">
        <v>74</v>
      </c>
      <c r="E24" s="9" t="s">
        <v>28</v>
      </c>
      <c r="F24" s="11" t="s">
        <v>29</v>
      </c>
    </row>
    <row r="25" ht="35.05" customHeight="1" spans="1:6" s="2" customFormat="1" x14ac:dyDescent="0.25">
      <c r="A25" s="9" t="s">
        <v>75</v>
      </c>
      <c r="B25" s="11" t="s">
        <v>76</v>
      </c>
      <c r="C25" s="9"/>
      <c r="D25" s="9" t="s">
        <v>77</v>
      </c>
      <c r="E25" s="9"/>
      <c r="F25" s="11" t="s">
        <v>71</v>
      </c>
    </row>
    <row r="26" ht="15" customHeight="1" spans="1:6" s="2" customFormat="1" x14ac:dyDescent="0.25">
      <c r="A26" s="7" t="s">
        <v>78</v>
      </c>
      <c r="B26" s="8"/>
      <c r="C26" s="8"/>
      <c r="D26" s="8"/>
      <c r="E26" s="8"/>
      <c r="F26" s="8"/>
    </row>
    <row r="27" ht="23.85" customHeight="1" spans="1:6" s="2" customFormat="1" x14ac:dyDescent="0.25">
      <c r="A27" s="9" t="s">
        <v>79</v>
      </c>
      <c r="B27" s="11">
        <v>40</v>
      </c>
      <c r="C27" s="9" t="s">
        <v>80</v>
      </c>
      <c r="D27" s="9" t="s">
        <v>81</v>
      </c>
      <c r="E27" s="9" t="s">
        <v>82</v>
      </c>
      <c r="F27" s="11" t="s">
        <v>71</v>
      </c>
    </row>
    <row r="28" ht="23.85" customHeight="1" spans="1:6" s="2" customFormat="1" x14ac:dyDescent="0.25">
      <c r="A28" s="9" t="s">
        <v>83</v>
      </c>
      <c r="B28" s="11">
        <v>8</v>
      </c>
      <c r="C28" s="9" t="s">
        <v>84</v>
      </c>
      <c r="D28" s="9" t="s">
        <v>85</v>
      </c>
      <c r="E28" s="9" t="s">
        <v>86</v>
      </c>
      <c r="F28" s="11" t="s">
        <v>71</v>
      </c>
    </row>
    <row r="29" ht="23.85" customHeight="1" spans="1:6" s="2" customFormat="1" x14ac:dyDescent="0.25">
      <c r="A29" s="9" t="s">
        <v>87</v>
      </c>
      <c r="B29" s="11" t="s">
        <v>88</v>
      </c>
      <c r="C29" s="9"/>
      <c r="D29" s="9" t="s">
        <v>89</v>
      </c>
      <c r="E29" s="9" t="s">
        <v>86</v>
      </c>
      <c r="F29" s="11" t="s">
        <v>71</v>
      </c>
    </row>
    <row r="30" ht="23.85" customHeight="1" spans="1:6" s="2" customFormat="1" x14ac:dyDescent="0.25">
      <c r="A30" s="9" t="s">
        <v>90</v>
      </c>
      <c r="B30" s="10">
        <v>0.5</v>
      </c>
      <c r="C30" s="9" t="s">
        <v>26</v>
      </c>
      <c r="D30" s="9" t="s">
        <v>91</v>
      </c>
      <c r="E30" s="9"/>
      <c r="F30" s="11" t="s">
        <v>43</v>
      </c>
    </row>
    <row r="31" spans="1:6" x14ac:dyDescent="0.25">
      <c r="A31" s="9" t="s">
        <v>92</v>
      </c>
      <c r="B31" s="10">
        <v>15</v>
      </c>
      <c r="C31" s="9" t="s">
        <v>80</v>
      </c>
      <c r="D31" s="9" t="s">
        <v>93</v>
      </c>
      <c r="E31" s="9" t="s">
        <v>86</v>
      </c>
      <c r="F31" s="11" t="s">
        <v>43</v>
      </c>
    </row>
    <row r="32" spans="1:6" x14ac:dyDescent="0.25">
      <c r="A32" s="9" t="s">
        <v>94</v>
      </c>
      <c r="B32" s="10">
        <v>40</v>
      </c>
      <c r="C32" s="9" t="s">
        <v>80</v>
      </c>
      <c r="D32" s="9" t="s">
        <v>95</v>
      </c>
      <c r="E32" s="9" t="s">
        <v>82</v>
      </c>
      <c r="F32" s="11" t="s">
        <v>71</v>
      </c>
    </row>
    <row r="33" spans="1:6" x14ac:dyDescent="0.25">
      <c r="A33" s="7" t="s">
        <v>96</v>
      </c>
      <c r="B33" s="8"/>
      <c r="C33" s="8"/>
      <c r="D33" s="8"/>
      <c r="E33" s="8"/>
      <c r="F33" s="8"/>
    </row>
    <row r="34" spans="1:6" x14ac:dyDescent="0.25">
      <c r="A34" s="9" t="s">
        <v>97</v>
      </c>
      <c r="B34" s="10">
        <v>3.15</v>
      </c>
      <c r="C34" s="9" t="s">
        <v>26</v>
      </c>
      <c r="D34" s="9" t="s">
        <v>98</v>
      </c>
      <c r="E34" s="9" t="s">
        <v>99</v>
      </c>
      <c r="F34" s="11" t="s">
        <v>100</v>
      </c>
    </row>
    <row r="35" spans="1:6" x14ac:dyDescent="0.25">
      <c r="A35" s="9" t="s">
        <v>101</v>
      </c>
      <c r="B35" s="10">
        <v>2.4</v>
      </c>
      <c r="C35" s="9" t="s">
        <v>26</v>
      </c>
      <c r="D35" s="9" t="s">
        <v>102</v>
      </c>
      <c r="E35" s="9" t="s">
        <v>103</v>
      </c>
      <c r="F35" s="11" t="s">
        <v>43</v>
      </c>
    </row>
    <row r="36" spans="1:6" x14ac:dyDescent="0.25">
      <c r="A36" s="9" t="s">
        <v>104</v>
      </c>
      <c r="B36" s="10">
        <v>3350</v>
      </c>
      <c r="C36" s="9" t="s">
        <v>26</v>
      </c>
      <c r="D36" s="9" t="s">
        <v>105</v>
      </c>
      <c r="E36" s="9" t="s">
        <v>106</v>
      </c>
      <c r="F36" s="11" t="s">
        <v>71</v>
      </c>
    </row>
    <row r="37" spans="1:6" x14ac:dyDescent="0.25">
      <c r="A37" s="9" t="s">
        <v>107</v>
      </c>
      <c r="B37" s="10">
        <v>16</v>
      </c>
      <c r="C37" s="9" t="s">
        <v>26</v>
      </c>
      <c r="D37" s="9" t="s">
        <v>108</v>
      </c>
      <c r="E37" s="9" t="s">
        <v>103</v>
      </c>
      <c r="F37" s="11" t="s">
        <v>43</v>
      </c>
    </row>
    <row r="38" spans="1:6" x14ac:dyDescent="0.25">
      <c r="A38" s="9" t="s">
        <v>109</v>
      </c>
      <c r="B38" s="10">
        <v>9</v>
      </c>
      <c r="C38" s="9" t="s">
        <v>26</v>
      </c>
      <c r="D38" s="9" t="s">
        <v>110</v>
      </c>
      <c r="E38" s="9" t="s">
        <v>103</v>
      </c>
      <c r="F38" s="11" t="s">
        <v>43</v>
      </c>
    </row>
    <row r="39" spans="1:6" x14ac:dyDescent="0.25">
      <c r="A39" s="9" t="s">
        <v>111</v>
      </c>
      <c r="B39" s="10">
        <v>5</v>
      </c>
      <c r="C39" s="9" t="s">
        <v>26</v>
      </c>
      <c r="D39" s="9" t="s">
        <v>112</v>
      </c>
      <c r="E39" s="9" t="s">
        <v>103</v>
      </c>
      <c r="F39" s="11" t="s">
        <v>43</v>
      </c>
    </row>
    <row r="40" spans="1:6" x14ac:dyDescent="0.25">
      <c r="A40" s="9" t="s">
        <v>113</v>
      </c>
      <c r="B40" s="10">
        <v>4</v>
      </c>
      <c r="C40" s="9" t="s">
        <v>26</v>
      </c>
      <c r="D40" s="9" t="s">
        <v>114</v>
      </c>
      <c r="E40" s="9" t="s">
        <v>115</v>
      </c>
      <c r="F40" s="11" t="s">
        <v>43</v>
      </c>
    </row>
    <row r="41" spans="1:6" x14ac:dyDescent="0.25">
      <c r="A41" s="9" t="s">
        <v>116</v>
      </c>
      <c r="B41" s="10">
        <v>20</v>
      </c>
      <c r="C41" s="9" t="s">
        <v>80</v>
      </c>
      <c r="D41" s="9" t="s">
        <v>117</v>
      </c>
      <c r="E41" s="9"/>
      <c r="F41" s="11" t="s">
        <v>118</v>
      </c>
    </row>
    <row r="42" spans="1:6" x14ac:dyDescent="0.25">
      <c r="A42" s="9" t="s">
        <v>119</v>
      </c>
      <c r="B42" s="10">
        <v>9</v>
      </c>
      <c r="C42" s="9" t="s">
        <v>26</v>
      </c>
      <c r="D42" s="9" t="s">
        <v>120</v>
      </c>
      <c r="E42" s="9" t="s">
        <v>103</v>
      </c>
      <c r="F42" s="11" t="s">
        <v>43</v>
      </c>
    </row>
  </sheetData>
  <dataValidations count="6">
    <dataValidation type="list" allowBlank="1" errorStyle="stop" sqref="F10:F17">
      <formula1>"desenho,calculado,estimado,medido,confirmado,a medir"</formula1>
      <formula2>0</formula2>
    </dataValidation>
    <dataValidation type="list" allowBlank="1" errorStyle="stop" sqref="F19:F21">
      <formula1>"desenho,calculado,estimado,medido,confirmado,a medir"</formula1>
      <formula2>0</formula2>
    </dataValidation>
    <dataValidation type="list" allowBlank="1" errorStyle="stop" sqref="F23:F25">
      <formula1>"desenho,calculado,estimado,medido,confirmado,a medir"</formula1>
      <formula2>0</formula2>
    </dataValidation>
    <dataValidation type="list" allowBlank="1" errorStyle="stop" sqref="F27:F30">
      <formula1>"desenho,calculado,estimado,medido,confirmado,a medir"</formula1>
      <formula2>0</formula2>
    </dataValidation>
    <dataValidation type="list" allowBlank="1" errorStyle="stop" sqref="F3">
      <formula1>"desenho,calculado,estimado,medido,confirmado,a medir"</formula1>
      <formula2>0</formula2>
    </dataValidation>
    <dataValidation type="list" allowBlank="1" errorStyle="stop" sqref="F5:F17">
      <formula1>"desenho,calculado,estimado,medido,confirmado,a medir"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23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9" style="1" customWidth="1"/>
    <col min="2" max="2" width="22" style="1" customWidth="1"/>
    <col min="3" max="3" width="10" style="1" customWidth="1"/>
    <col min="4" max="5" width="8" style="1" customWidth="1"/>
    <col min="6" max="7" width="13" style="1" customWidth="1"/>
    <col min="8" max="9" width="12" style="1" customWidth="1"/>
    <col min="10" max="10" width="13" style="1" customWidth="1"/>
    <col min="11" max="11" width="24" style="1" customWidth="1"/>
    <col min="12" max="12" width="11" style="1" customWidth="1"/>
    <col min="13" max="13" width="44" style="1" customWidth="1"/>
  </cols>
  <sheetData>
    <row r="1" ht="31.5" customHeight="1" spans="1:13" s="2" customFormat="1" x14ac:dyDescent="0.25">
      <c r="A1" s="6" t="s">
        <v>121</v>
      </c>
      <c r="B1" s="6" t="s">
        <v>122</v>
      </c>
      <c r="C1" s="6" t="s">
        <v>123</v>
      </c>
      <c r="D1" s="6" t="s">
        <v>124</v>
      </c>
      <c r="E1" s="6" t="s">
        <v>125</v>
      </c>
      <c r="F1" s="6" t="s">
        <v>126</v>
      </c>
      <c r="G1" s="6" t="s">
        <v>127</v>
      </c>
      <c r="H1" s="6" t="s">
        <v>128</v>
      </c>
      <c r="I1" s="6" t="s">
        <v>129</v>
      </c>
      <c r="J1" s="6" t="s">
        <v>130</v>
      </c>
      <c r="K1" s="6" t="s">
        <v>131</v>
      </c>
      <c r="L1" s="6" t="s">
        <v>23</v>
      </c>
      <c r="M1" s="6" t="s">
        <v>132</v>
      </c>
    </row>
    <row r="2" ht="15" customHeight="1" spans="1:13" s="2" customFormat="1" x14ac:dyDescent="0.25">
      <c r="A2" s="11" t="s">
        <v>133</v>
      </c>
      <c r="B2" s="11" t="s">
        <v>134</v>
      </c>
      <c r="C2" s="9" t="s">
        <v>135</v>
      </c>
      <c r="D2" s="11"/>
      <c r="E2" s="11"/>
      <c r="F2" s="12">
        <f>esfera_diametro_mm</f>
      </c>
      <c r="G2" s="12">
        <f>esfera_diametro_mm</f>
      </c>
      <c r="H2" s="10"/>
      <c r="I2" s="10"/>
      <c r="J2" s="10"/>
      <c r="K2" s="11"/>
      <c r="L2" s="11" t="s">
        <v>29</v>
      </c>
      <c r="M2" s="11" t="s">
        <v>136</v>
      </c>
    </row>
    <row r="3" ht="23.85" customHeight="1" spans="1:13" s="2" customFormat="1" x14ac:dyDescent="0.25">
      <c r="A3" s="11" t="s">
        <v>137</v>
      </c>
      <c r="B3" s="11" t="s">
        <v>138</v>
      </c>
      <c r="C3" s="9" t="s">
        <v>139</v>
      </c>
      <c r="D3" s="11"/>
      <c r="E3" s="11"/>
      <c r="F3" s="12">
        <f>gc_diametro_mm</f>
      </c>
      <c r="G3" s="12">
        <f>gc_diametro_mm</f>
      </c>
      <c r="H3" s="10"/>
      <c r="I3" s="10"/>
      <c r="J3" s="10"/>
      <c r="K3" s="11"/>
      <c r="L3" s="11" t="s">
        <v>29</v>
      </c>
      <c r="M3" s="11" t="s">
        <v>140</v>
      </c>
    </row>
    <row r="4" ht="35.05" customHeight="1" spans="1:13" s="2" customFormat="1" x14ac:dyDescent="0.25">
      <c r="A4" s="11" t="s">
        <v>141</v>
      </c>
      <c r="B4" s="11" t="s">
        <v>142</v>
      </c>
      <c r="C4" s="9" t="s">
        <v>143</v>
      </c>
      <c r="D4" s="11"/>
      <c r="E4" s="11"/>
      <c r="F4" s="12">
        <f>rc90_cateto_mm</f>
      </c>
      <c r="G4" s="12">
        <f>rc90_espessura_mm</f>
      </c>
      <c r="H4" s="10"/>
      <c r="I4" s="10"/>
      <c r="J4" s="10"/>
      <c r="K4" s="11"/>
      <c r="L4" s="11" t="s">
        <v>29</v>
      </c>
      <c r="M4" s="11" t="s">
        <v>144</v>
      </c>
    </row>
    <row r="5" ht="46.25" customHeight="1" spans="1:13" s="2" customFormat="1" x14ac:dyDescent="0.25">
      <c r="A5" s="11" t="s">
        <v>145</v>
      </c>
      <c r="B5" s="11" t="s">
        <v>146</v>
      </c>
      <c r="C5" s="9" t="s">
        <v>143</v>
      </c>
      <c r="D5" s="11"/>
      <c r="E5" s="11"/>
      <c r="F5" s="12">
        <f>IF(H5="","",H5)</f>
      </c>
      <c r="G5" s="12">
        <f>IF(I5="","",I5)</f>
      </c>
      <c r="H5" s="10"/>
      <c r="I5" s="10"/>
      <c r="J5" s="10"/>
      <c r="K5" s="11"/>
      <c r="L5" s="11" t="s">
        <v>147</v>
      </c>
      <c r="M5" s="11" t="s">
        <v>148</v>
      </c>
    </row>
    <row r="6" ht="57.45" customHeight="1" spans="1:13" s="2" customFormat="1" x14ac:dyDescent="0.25">
      <c r="A6" s="11" t="s">
        <v>149</v>
      </c>
      <c r="B6" s="11" t="s">
        <v>150</v>
      </c>
      <c r="C6" s="9" t="s">
        <v>143</v>
      </c>
      <c r="D6" s="11"/>
      <c r="E6" s="11"/>
      <c r="F6" s="12">
        <f>IF(H6="","",H6)</f>
      </c>
      <c r="G6" s="12">
        <f>IF(I6="","",I6)</f>
      </c>
      <c r="H6" s="10"/>
      <c r="I6" s="10"/>
      <c r="J6" s="10"/>
      <c r="K6" s="11"/>
      <c r="L6" s="11" t="s">
        <v>147</v>
      </c>
      <c r="M6" s="11" t="s">
        <v>151</v>
      </c>
    </row>
    <row r="7" ht="15" customHeight="1" spans="1:13" s="2" customFormat="1" x14ac:dyDescent="0.25">
      <c r="A7" s="11" t="s">
        <v>152</v>
      </c>
      <c r="B7" s="11" t="s">
        <v>153</v>
      </c>
      <c r="C7" s="9" t="s">
        <v>154</v>
      </c>
      <c r="D7" s="11">
        <v>4</v>
      </c>
      <c r="E7" s="11"/>
      <c r="F7" s="12">
        <f>IF(H7&lt;&gt;"",H7,D7*modulo_mm-barra_desconto_mm)</f>
      </c>
      <c r="G7" s="12">
        <f>barra_diametro_mm</f>
      </c>
      <c r="H7" s="10"/>
      <c r="I7" s="10"/>
      <c r="J7" s="10"/>
      <c r="K7" s="11" t="s">
        <v>155</v>
      </c>
      <c r="L7" s="11" t="s">
        <v>156</v>
      </c>
      <c r="M7" s="11"/>
    </row>
    <row r="8" ht="23.85" customHeight="1" spans="1:13" s="2" customFormat="1" x14ac:dyDescent="0.25">
      <c r="A8" s="11" t="s">
        <v>157</v>
      </c>
      <c r="B8" s="11" t="s">
        <v>158</v>
      </c>
      <c r="C8" s="9" t="s">
        <v>154</v>
      </c>
      <c r="D8" s="11">
        <v>6</v>
      </c>
      <c r="E8" s="11"/>
      <c r="F8" s="12">
        <f>IF(H8&lt;&gt;"",H8,D8*modulo_mm-barra_desconto_mm)</f>
      </c>
      <c r="G8" s="12">
        <f>barra_diametro_mm</f>
      </c>
      <c r="H8" s="10"/>
      <c r="I8" s="10"/>
      <c r="J8" s="10"/>
      <c r="K8" s="11" t="s">
        <v>155</v>
      </c>
      <c r="L8" s="11" t="s">
        <v>71</v>
      </c>
      <c r="M8" s="11" t="s">
        <v>159</v>
      </c>
    </row>
    <row r="9" ht="15" customHeight="1" spans="1:13" s="2" customFormat="1" x14ac:dyDescent="0.25">
      <c r="A9" s="11" t="s">
        <v>160</v>
      </c>
      <c r="B9" s="11" t="s">
        <v>161</v>
      </c>
      <c r="C9" s="9" t="s">
        <v>154</v>
      </c>
      <c r="D9" s="11">
        <v>12</v>
      </c>
      <c r="E9" s="11"/>
      <c r="F9" s="12">
        <f>IF(H9&lt;&gt;"",H9,D9*modulo_mm-barra_desconto_mm)</f>
      </c>
      <c r="G9" s="12">
        <f>barra_diametro_mm</f>
      </c>
      <c r="H9" s="10"/>
      <c r="I9" s="10"/>
      <c r="J9" s="10"/>
      <c r="K9" s="11" t="s">
        <v>155</v>
      </c>
      <c r="L9" s="11" t="s">
        <v>29</v>
      </c>
      <c r="M9" s="11"/>
    </row>
    <row r="10" ht="15" customHeight="1" spans="1:13" s="2" customFormat="1" x14ac:dyDescent="0.25">
      <c r="A10" s="11" t="s">
        <v>162</v>
      </c>
      <c r="B10" s="11" t="s">
        <v>163</v>
      </c>
      <c r="C10" s="9" t="s">
        <v>164</v>
      </c>
      <c r="D10" s="11">
        <v>4</v>
      </c>
      <c r="E10" s="11">
        <v>6</v>
      </c>
      <c r="F10" s="12">
        <f>IF(H10&lt;&gt;"",H10,SQRT(D10^2+E10^2)*modulo_mm-diagonal_desconto_mm)</f>
      </c>
      <c r="G10" s="12">
        <f>cabo_diametro_mm</f>
      </c>
      <c r="H10" s="10"/>
      <c r="I10" s="10"/>
      <c r="J10" s="10"/>
      <c r="K10" s="11" t="s">
        <v>165</v>
      </c>
      <c r="L10" s="11" t="s">
        <v>156</v>
      </c>
      <c r="M10" s="11"/>
    </row>
    <row r="11" ht="15" customHeight="1" spans="1:13" s="2" customFormat="1" x14ac:dyDescent="0.25">
      <c r="A11" s="11" t="s">
        <v>166</v>
      </c>
      <c r="B11" s="11" t="s">
        <v>167</v>
      </c>
      <c r="C11" s="9" t="s">
        <v>164</v>
      </c>
      <c r="D11" s="11">
        <v>6</v>
      </c>
      <c r="E11" s="11">
        <v>6</v>
      </c>
      <c r="F11" s="12">
        <f>IF(H11&lt;&gt;"",H11,SQRT(D11^2+E11^2)*modulo_mm-diagonal_desconto_mm)</f>
      </c>
      <c r="G11" s="12">
        <f>cabo_diametro_mm</f>
      </c>
      <c r="H11" s="10"/>
      <c r="I11" s="10"/>
      <c r="J11" s="10"/>
      <c r="K11" s="11" t="s">
        <v>165</v>
      </c>
      <c r="L11" s="11" t="s">
        <v>29</v>
      </c>
      <c r="M11" s="11"/>
    </row>
    <row r="12" ht="15" customHeight="1" spans="1:13" s="2" customFormat="1" x14ac:dyDescent="0.25">
      <c r="A12" s="11" t="s">
        <v>168</v>
      </c>
      <c r="B12" s="11" t="s">
        <v>169</v>
      </c>
      <c r="C12" s="9" t="s">
        <v>164</v>
      </c>
      <c r="D12" s="11">
        <v>6</v>
      </c>
      <c r="E12" s="11">
        <v>12</v>
      </c>
      <c r="F12" s="12">
        <f>IF(H12&lt;&gt;"",H12,SQRT(D12^2+E12^2)*modulo_mm-diagonal_desconto_mm)</f>
      </c>
      <c r="G12" s="12">
        <f>cabo_diametro_mm</f>
      </c>
      <c r="H12" s="10"/>
      <c r="I12" s="10"/>
      <c r="J12" s="10"/>
      <c r="K12" s="11" t="s">
        <v>165</v>
      </c>
      <c r="L12" s="11" t="s">
        <v>156</v>
      </c>
      <c r="M12" s="11"/>
    </row>
    <row r="13" ht="23.85" customHeight="1" spans="1:13" s="2" customFormat="1" x14ac:dyDescent="0.25">
      <c r="A13" s="11" t="s">
        <v>170</v>
      </c>
      <c r="B13" s="11" t="s">
        <v>171</v>
      </c>
      <c r="C13" s="9" t="s">
        <v>172</v>
      </c>
      <c r="D13" s="11">
        <v>6</v>
      </c>
      <c r="E13" s="11">
        <v>6</v>
      </c>
      <c r="F13" s="12">
        <f>IF(H13&lt;&gt;"",H13,D13*modulo_mm-placa_desconto_mm)</f>
      </c>
      <c r="G13" s="12">
        <f>IF(I13&lt;&gt;"",I13,E13*modulo_mm-placa_desconto_mm)</f>
      </c>
      <c r="H13" s="10"/>
      <c r="I13" s="10"/>
      <c r="J13" s="10"/>
      <c r="K13" s="11"/>
      <c r="L13" s="11" t="s">
        <v>29</v>
      </c>
      <c r="M13" s="11" t="s">
        <v>173</v>
      </c>
    </row>
    <row r="14" ht="23.85" customHeight="1" spans="1:13" s="2" customFormat="1" x14ac:dyDescent="0.25">
      <c r="A14" s="11" t="s">
        <v>174</v>
      </c>
      <c r="B14" s="11" t="s">
        <v>175</v>
      </c>
      <c r="C14" s="9" t="s">
        <v>172</v>
      </c>
      <c r="D14" s="11">
        <v>12</v>
      </c>
      <c r="E14" s="11">
        <v>6</v>
      </c>
      <c r="F14" s="12">
        <f>IF(H14&lt;&gt;"",H14,D14*modulo_mm-placa_desconto_mm)</f>
      </c>
      <c r="G14" s="12">
        <f>IF(I14&lt;&gt;"",I14,E14*modulo_mm-placa_desconto_mm)</f>
      </c>
      <c r="H14" s="10"/>
      <c r="I14" s="10"/>
      <c r="J14" s="10"/>
      <c r="K14" s="11"/>
      <c r="L14" s="11" t="s">
        <v>29</v>
      </c>
      <c r="M14" s="11" t="s">
        <v>176</v>
      </c>
    </row>
    <row r="15" ht="15" customHeight="1" spans="1:13" s="2" customFormat="1" x14ac:dyDescent="0.25">
      <c r="A15" s="11" t="s">
        <v>177</v>
      </c>
      <c r="B15" s="11" t="s">
        <v>58</v>
      </c>
      <c r="C15" s="9" t="s">
        <v>178</v>
      </c>
      <c r="D15" s="11"/>
      <c r="E15" s="11"/>
      <c r="F15" s="12">
        <f>chapa_modulos_x*modulo_mm</f>
      </c>
      <c r="G15" s="12">
        <f>chapa_modulos_y*modulo_mm</f>
      </c>
      <c r="H15" s="10"/>
      <c r="I15" s="10"/>
      <c r="J15" s="10"/>
      <c r="K15" s="11"/>
      <c r="L15" s="11" t="s">
        <v>29</v>
      </c>
      <c r="M15" s="11" t="s">
        <v>179</v>
      </c>
    </row>
    <row r="16" spans="1:13" x14ac:dyDescent="0.25">
      <c r="A16" s="11" t="s">
        <v>180</v>
      </c>
      <c r="B16" s="11" t="s">
        <v>181</v>
      </c>
      <c r="C16" s="9" t="s">
        <v>182</v>
      </c>
      <c r="D16" s="11"/>
      <c r="E16" s="11"/>
      <c r="F16" s="12">
        <f>cabo_rolo_mm</f>
      </c>
      <c r="G16" s="12">
        <f>cabo_bolinha_mm</f>
      </c>
      <c r="H16" s="10"/>
      <c r="I16" s="10"/>
      <c r="J16" s="10"/>
      <c r="K16" s="11" t="s">
        <v>165</v>
      </c>
      <c r="L16" s="11" t="s">
        <v>43</v>
      </c>
      <c r="M16" s="11" t="s">
        <v>183</v>
      </c>
    </row>
    <row r="17" spans="1:13" x14ac:dyDescent="0.25">
      <c r="A17" s="11" t="s">
        <v>184</v>
      </c>
      <c r="B17" s="11" t="s">
        <v>185</v>
      </c>
      <c r="C17" s="9" t="s">
        <v>186</v>
      </c>
      <c r="D17" s="11"/>
      <c r="E17" s="11"/>
      <c r="F17" s="12">
        <f>cabo_ligacao_mm</f>
      </c>
      <c r="G17" s="12"/>
      <c r="H17" s="10"/>
      <c r="I17" s="10"/>
      <c r="J17" s="10"/>
      <c r="K17" s="11" t="s">
        <v>187</v>
      </c>
      <c r="L17" s="11" t="s">
        <v>43</v>
      </c>
      <c r="M17" s="11" t="s">
        <v>188</v>
      </c>
    </row>
    <row r="18" spans="1:13" x14ac:dyDescent="0.25">
      <c r="A18" s="11" t="s">
        <v>189</v>
      </c>
      <c r="B18" s="11" t="s">
        <v>190</v>
      </c>
      <c r="C18" s="9" t="s">
        <v>186</v>
      </c>
      <c r="D18" s="11"/>
      <c r="E18" s="11"/>
      <c r="F18" s="12">
        <f>cabo_clip_mm</f>
      </c>
      <c r="G18" s="12"/>
      <c r="H18" s="10"/>
      <c r="I18" s="10"/>
      <c r="J18" s="10"/>
      <c r="K18" s="11"/>
      <c r="L18" s="11" t="s">
        <v>43</v>
      </c>
      <c r="M18" s="11" t="s">
        <v>191</v>
      </c>
    </row>
    <row r="19" spans="1:13" x14ac:dyDescent="0.25">
      <c r="A19" s="11" t="s">
        <v>192</v>
      </c>
      <c r="B19" s="11" t="s">
        <v>193</v>
      </c>
      <c r="C19" s="9" t="s">
        <v>186</v>
      </c>
      <c r="D19" s="11"/>
      <c r="E19" s="11"/>
      <c r="F19" s="12"/>
      <c r="G19" s="12"/>
      <c r="H19" s="10">
        <v>11</v>
      </c>
      <c r="I19" s="10"/>
      <c r="J19" s="10"/>
      <c r="K19" s="11"/>
      <c r="L19" s="11" t="s">
        <v>43</v>
      </c>
      <c r="M19" s="11" t="s">
        <v>194</v>
      </c>
    </row>
    <row r="20" spans="1:13" x14ac:dyDescent="0.25">
      <c r="A20" s="11" t="s">
        <v>195</v>
      </c>
      <c r="B20" s="11" t="s">
        <v>196</v>
      </c>
      <c r="C20" s="9" t="s">
        <v>186</v>
      </c>
      <c r="D20" s="11"/>
      <c r="E20" s="11"/>
      <c r="F20" s="12"/>
      <c r="G20" s="12"/>
      <c r="H20" s="10">
        <v>10</v>
      </c>
      <c r="I20" s="10"/>
      <c r="J20" s="10"/>
      <c r="K20" s="11"/>
      <c r="L20" s="11" t="s">
        <v>43</v>
      </c>
      <c r="M20" s="11" t="s">
        <v>197</v>
      </c>
    </row>
    <row r="21" spans="1:13" x14ac:dyDescent="0.25">
      <c r="A21" s="11" t="s">
        <v>198</v>
      </c>
      <c r="B21" s="11" t="s">
        <v>199</v>
      </c>
      <c r="C21" s="9" t="s">
        <v>186</v>
      </c>
      <c r="D21" s="11"/>
      <c r="E21" s="11"/>
      <c r="F21" s="12"/>
      <c r="G21" s="12"/>
      <c r="H21" s="10">
        <v>15</v>
      </c>
      <c r="I21" s="10"/>
      <c r="J21" s="10"/>
      <c r="K21" s="11"/>
      <c r="L21" s="11" t="s">
        <v>43</v>
      </c>
      <c r="M21" s="11" t="s">
        <v>197</v>
      </c>
    </row>
    <row r="22" spans="1:13" x14ac:dyDescent="0.25">
      <c r="A22" s="11" t="s">
        <v>200</v>
      </c>
      <c r="B22" s="11" t="s">
        <v>201</v>
      </c>
      <c r="C22" s="9" t="s">
        <v>202</v>
      </c>
      <c r="D22" s="11">
        <v>6</v>
      </c>
      <c r="E22" s="11"/>
      <c r="F22" s="12">
        <f>IF(H22&lt;&gt;"",H22,D22*modulo_mm-barra_desconto_mm)</f>
      </c>
      <c r="G22" s="12">
        <f>enrijecedor_diametro_mm</f>
      </c>
      <c r="H22" s="10"/>
      <c r="I22" s="10"/>
      <c r="J22" s="10"/>
      <c r="K22" s="11" t="s">
        <v>203</v>
      </c>
      <c r="L22" s="11" t="s">
        <v>43</v>
      </c>
      <c r="M22" s="11" t="s">
        <v>204</v>
      </c>
    </row>
    <row r="23" spans="1:13" x14ac:dyDescent="0.25">
      <c r="A23" s="11" t="s">
        <v>205</v>
      </c>
      <c r="B23" s="11" t="s">
        <v>206</v>
      </c>
      <c r="C23" s="9" t="s">
        <v>202</v>
      </c>
      <c r="D23" s="11">
        <v>12</v>
      </c>
      <c r="E23" s="11"/>
      <c r="F23" s="12">
        <f>IF(H23&lt;&gt;"",H23,D23*modulo_mm-barra_desconto_mm)</f>
      </c>
      <c r="G23" s="12">
        <f>enrijecedor_diametro_mm</f>
      </c>
      <c r="H23" s="10"/>
      <c r="I23" s="10"/>
      <c r="J23" s="10"/>
      <c r="K23" s="11" t="s">
        <v>203</v>
      </c>
      <c r="L23" s="11" t="s">
        <v>43</v>
      </c>
      <c r="M23" s="11" t="s">
        <v>207</v>
      </c>
    </row>
  </sheetData>
  <dataValidations count="4">
    <dataValidation type="list" errorStyle="stop" sqref="C10:C15">
      <formula1>"node,support,connector,bar,cable,plate,ground"</formula1>
      <formula2>0</formula2>
    </dataValidation>
    <dataValidation type="list" errorStyle="stop" sqref="C2:C15">
      <formula1>"node,support,connector,bar,cable,plate,ground"</formula1>
      <formula2>0</formula2>
    </dataValidation>
    <dataValidation type="list" allowBlank="1" errorStyle="stop" sqref="L10:L15">
      <formula1>"desenho,calculado,estimado,medido,confirmado,a medir"</formula1>
      <formula2>0</formula2>
    </dataValidation>
    <dataValidation type="list" allowBlank="1" errorStyle="stop" sqref="L2:L15">
      <formula1>"desenho,calculado,estimado,medido,confirmado,a medir"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26" style="1" customWidth="1"/>
    <col min="3" max="3" width="10" style="1" customWidth="1"/>
    <col min="4" max="4" width="12" style="1" customWidth="1"/>
    <col min="5" max="5" width="50" style="1" customWidth="1"/>
  </cols>
  <sheetData>
    <row r="1" ht="31.5" customHeight="1" spans="1:5" s="2" customFormat="1" x14ac:dyDescent="0.25">
      <c r="A1" s="6" t="s">
        <v>208</v>
      </c>
      <c r="B1" s="6" t="s">
        <v>122</v>
      </c>
      <c r="C1" s="6" t="s">
        <v>209</v>
      </c>
      <c r="D1" s="6" t="s">
        <v>210</v>
      </c>
      <c r="E1" s="6" t="s">
        <v>132</v>
      </c>
    </row>
    <row r="2" ht="15" customHeight="1" spans="1:5" s="2" customFormat="1" x14ac:dyDescent="0.25">
      <c r="A2" s="13">
        <v>1</v>
      </c>
      <c r="B2" s="13" t="s">
        <v>211</v>
      </c>
      <c r="C2" s="13" t="s">
        <v>212</v>
      </c>
      <c r="D2" s="13">
        <v>122</v>
      </c>
      <c r="E2" s="13" t="s">
        <v>213</v>
      </c>
    </row>
    <row r="3" ht="15" customHeight="1" spans="1:5" s="2" customFormat="1" x14ac:dyDescent="0.25">
      <c r="A3" s="13">
        <v>2</v>
      </c>
      <c r="B3" s="13" t="s">
        <v>214</v>
      </c>
      <c r="C3" s="13" t="s">
        <v>215</v>
      </c>
      <c r="D3" s="13">
        <v>145</v>
      </c>
      <c r="E3" s="13" t="s">
        <v>216</v>
      </c>
    </row>
    <row r="4" spans="1:5" x14ac:dyDescent="0.25">
      <c r="A4" s="13">
        <v>3</v>
      </c>
      <c r="B4" s="13" t="s">
        <v>217</v>
      </c>
      <c r="C4" s="13" t="s">
        <v>218</v>
      </c>
      <c r="D4" s="13">
        <v>205</v>
      </c>
      <c r="E4" s="13" t="s">
        <v>219</v>
      </c>
    </row>
    <row r="5" ht="15" customHeight="1" spans="1:1" s="2" customFormat="1" x14ac:dyDescent="0.25">
      <c r="A5" s="14" t="s">
        <v>220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25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0" style="1" customWidth="1"/>
    <col min="2" max="3" width="9" style="1" customWidth="1"/>
  </cols>
  <sheetData>
    <row r="1" ht="31.5" customHeight="1" spans="1:4" s="2" customFormat="1" x14ac:dyDescent="0.25">
      <c r="A1" s="6" t="s">
        <v>121</v>
      </c>
      <c r="B1" s="6" t="s">
        <v>221</v>
      </c>
      <c r="C1" s="6" t="s">
        <v>222</v>
      </c>
      <c r="D1" s="6" t="s">
        <v>223</v>
      </c>
    </row>
    <row r="2" ht="15" customHeight="1" spans="1:4" s="2" customFormat="1" x14ac:dyDescent="0.25">
      <c r="A2" s="15" t="s">
        <v>133</v>
      </c>
      <c r="B2" s="13">
        <v>12</v>
      </c>
      <c r="C2" s="13">
        <v>18</v>
      </c>
      <c r="D2" s="13">
        <v>18</v>
      </c>
    </row>
    <row r="3" ht="15" customHeight="1" spans="1:4" s="2" customFormat="1" x14ac:dyDescent="0.25">
      <c r="A3" s="15" t="s">
        <v>137</v>
      </c>
      <c r="B3" s="13">
        <v>4</v>
      </c>
      <c r="C3" s="13">
        <v>6</v>
      </c>
      <c r="D3" s="13">
        <v>8</v>
      </c>
    </row>
    <row r="4" ht="15" customHeight="1" spans="1:4" s="2" customFormat="1" x14ac:dyDescent="0.25">
      <c r="A4" s="15" t="s">
        <v>141</v>
      </c>
      <c r="B4" s="13">
        <v>48</v>
      </c>
      <c r="C4" s="13">
        <v>12</v>
      </c>
      <c r="D4" s="13">
        <v>12</v>
      </c>
    </row>
    <row r="5" ht="15" customHeight="1" spans="1:4" s="2" customFormat="1" x14ac:dyDescent="0.25">
      <c r="A5" s="15" t="s">
        <v>145</v>
      </c>
      <c r="B5" s="13">
        <v>0</v>
      </c>
      <c r="C5" s="13">
        <v>12</v>
      </c>
      <c r="D5" s="13">
        <v>0</v>
      </c>
    </row>
    <row r="6" ht="15" customHeight="1" spans="1:4" s="2" customFormat="1" x14ac:dyDescent="0.25">
      <c r="A6" s="15" t="s">
        <v>149</v>
      </c>
      <c r="B6" s="13">
        <v>0</v>
      </c>
      <c r="C6" s="13">
        <v>12</v>
      </c>
      <c r="D6" s="13">
        <v>0</v>
      </c>
    </row>
    <row r="7" ht="15" customHeight="1" spans="1:4" s="2" customFormat="1" x14ac:dyDescent="0.25">
      <c r="A7" s="15" t="s">
        <v>152</v>
      </c>
      <c r="B7" s="13">
        <v>0</v>
      </c>
      <c r="C7" s="13">
        <v>18</v>
      </c>
      <c r="D7" s="13">
        <v>0</v>
      </c>
    </row>
    <row r="8" ht="15" customHeight="1" spans="1:4" s="2" customFormat="1" x14ac:dyDescent="0.25">
      <c r="A8" s="15" t="s">
        <v>157</v>
      </c>
      <c r="B8" s="13">
        <v>24</v>
      </c>
      <c r="C8" s="13">
        <v>30</v>
      </c>
      <c r="D8" s="13">
        <v>30</v>
      </c>
    </row>
    <row r="9" ht="15" customHeight="1" spans="1:4" s="2" customFormat="1" x14ac:dyDescent="0.25">
      <c r="A9" s="15" t="s">
        <v>160</v>
      </c>
      <c r="B9" s="13">
        <v>6</v>
      </c>
      <c r="C9" s="13">
        <v>0</v>
      </c>
      <c r="D9" s="13">
        <v>9</v>
      </c>
    </row>
    <row r="10" ht="15" customHeight="1" spans="1:4" s="2" customFormat="1" x14ac:dyDescent="0.25">
      <c r="A10" s="15" t="s">
        <v>162</v>
      </c>
      <c r="B10" s="13">
        <v>0</v>
      </c>
      <c r="C10" s="13">
        <v>24</v>
      </c>
      <c r="D10" s="13">
        <v>0</v>
      </c>
    </row>
    <row r="11" ht="15" customHeight="1" spans="1:4" s="2" customFormat="1" x14ac:dyDescent="0.25">
      <c r="A11" s="15" t="s">
        <v>166</v>
      </c>
      <c r="B11" s="13">
        <v>12</v>
      </c>
      <c r="C11" s="13">
        <v>9</v>
      </c>
      <c r="D11" s="13">
        <v>9</v>
      </c>
    </row>
    <row r="12" ht="15" customHeight="1" spans="1:4" s="2" customFormat="1" x14ac:dyDescent="0.25">
      <c r="A12" s="15" t="s">
        <v>168</v>
      </c>
      <c r="B12" s="13">
        <v>12</v>
      </c>
      <c r="C12" s="13">
        <v>0</v>
      </c>
      <c r="D12" s="13">
        <v>9</v>
      </c>
    </row>
    <row r="13" ht="15" customHeight="1" spans="1:4" s="2" customFormat="1" x14ac:dyDescent="0.25">
      <c r="A13" s="15" t="s">
        <v>170</v>
      </c>
      <c r="B13" s="13">
        <v>0</v>
      </c>
      <c r="C13" s="13">
        <v>3</v>
      </c>
      <c r="D13" s="13">
        <v>0</v>
      </c>
    </row>
    <row r="14" ht="15" customHeight="1" spans="1:4" s="2" customFormat="1" x14ac:dyDescent="0.25">
      <c r="A14" s="15" t="s">
        <v>174</v>
      </c>
      <c r="B14" s="13">
        <v>3</v>
      </c>
      <c r="C14" s="13">
        <v>0</v>
      </c>
      <c r="D14" s="13">
        <v>0</v>
      </c>
    </row>
    <row r="15" ht="15" customHeight="1" spans="1:4" s="2" customFormat="1" x14ac:dyDescent="0.25">
      <c r="A15" s="15" t="s">
        <v>177</v>
      </c>
      <c r="B15" s="13">
        <v>1</v>
      </c>
      <c r="C15" s="13">
        <v>1</v>
      </c>
      <c r="D15" s="13">
        <v>2</v>
      </c>
    </row>
    <row r="16" ht="15" customHeight="1" spans="1:4" x14ac:dyDescent="0.25">
      <c r="A16" s="15" t="s">
        <v>180</v>
      </c>
      <c r="B16" s="13">
        <v>0</v>
      </c>
      <c r="C16" s="13">
        <v>0</v>
      </c>
      <c r="D16" s="13">
        <v>1</v>
      </c>
    </row>
    <row r="17" ht="15" customHeight="1" spans="1:4" x14ac:dyDescent="0.25">
      <c r="A17" s="15" t="s">
        <v>184</v>
      </c>
      <c r="B17" s="13">
        <v>0</v>
      </c>
      <c r="C17" s="13">
        <v>0</v>
      </c>
      <c r="D17" s="13">
        <v>24</v>
      </c>
    </row>
    <row r="18" spans="1:4" x14ac:dyDescent="0.25">
      <c r="A18" s="15" t="s">
        <v>189</v>
      </c>
      <c r="B18" s="13">
        <v>0</v>
      </c>
      <c r="C18" s="13">
        <v>0</v>
      </c>
      <c r="D18" s="13">
        <v>50</v>
      </c>
    </row>
    <row r="19" spans="1:4" x14ac:dyDescent="0.25">
      <c r="A19" s="15" t="s">
        <v>192</v>
      </c>
      <c r="B19" s="13">
        <v>0</v>
      </c>
      <c r="C19" s="13">
        <v>0</v>
      </c>
      <c r="D19" s="13">
        <v>4</v>
      </c>
    </row>
    <row r="20" spans="1:4" x14ac:dyDescent="0.25">
      <c r="A20" s="15" t="s">
        <v>195</v>
      </c>
      <c r="B20" s="13">
        <v>0</v>
      </c>
      <c r="C20" s="13">
        <v>0</v>
      </c>
      <c r="D20" s="13">
        <v>10</v>
      </c>
    </row>
    <row r="21" spans="1:4" x14ac:dyDescent="0.25">
      <c r="A21" s="15" t="s">
        <v>198</v>
      </c>
      <c r="B21" s="13">
        <v>0</v>
      </c>
      <c r="C21" s="13">
        <v>0</v>
      </c>
      <c r="D21" s="13">
        <v>10</v>
      </c>
    </row>
    <row r="22" spans="1:4" x14ac:dyDescent="0.25">
      <c r="A22" s="15" t="s">
        <v>200</v>
      </c>
      <c r="B22" s="13">
        <v>0</v>
      </c>
      <c r="C22" s="13">
        <v>0</v>
      </c>
      <c r="D22" s="13">
        <v>3</v>
      </c>
    </row>
    <row r="23" spans="1:4" x14ac:dyDescent="0.25">
      <c r="A23" s="15" t="s">
        <v>205</v>
      </c>
      <c r="B23" s="13">
        <v>0</v>
      </c>
      <c r="C23" s="13">
        <v>0</v>
      </c>
      <c r="D23" s="13">
        <v>6</v>
      </c>
    </row>
    <row r="24" ht="15" customHeight="1" spans="1:4" s="2" customFormat="1" x14ac:dyDescent="0.25">
      <c r="A24" s="16" t="s">
        <v>224</v>
      </c>
      <c r="B24" s="17">
        <f>SUM(B2:B23)</f>
      </c>
      <c r="C24" s="17">
        <f>SUM(C2:C23)</f>
      </c>
      <c r="D24" s="17">
        <f>SUM(D2:D23)</f>
      </c>
    </row>
    <row r="25" ht="15" customHeight="1" spans="1:1" s="2" customFormat="1" x14ac:dyDescent="0.25">
      <c r="A25" s="14" t="s">
        <v>225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Geral</vt:lpstr>
      <vt:lpstr>Peças</vt:lpstr>
      <vt:lpstr>Kits</vt:lpstr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language>en-US</dc:language>
  <cp:lastModifiedBy>Unknown</cp:lastModifiedBy>
  <dcterms:created xsi:type="dcterms:W3CDTF">2026-10-08T16:34:05Z</dcterms:created>
  <dcterms:modified xsi:type="dcterms:W3CDTF">2026-10-08T19:50:50Z</dcterms:modified>
</cp:coreProperties>
</file>